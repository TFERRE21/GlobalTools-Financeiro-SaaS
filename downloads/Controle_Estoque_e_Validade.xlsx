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Movimentações" sheetId="3" state="visible" r:id="rId3"/>
    <sheet xmlns:r="http://schemas.openxmlformats.org/officeDocument/2006/relationships" name="Lotes" sheetId="4" state="visible" r:id="rId4"/>
    <sheet xmlns:r="http://schemas.openxmlformats.org/officeDocument/2006/relationships" name="Resumo Mensal" sheetId="5" state="visible" r:id="rId5"/>
  </sheets>
  <definedNames>
    <definedName name="_xlnm._FilterDatabase" localSheetId="1" hidden="1">'Produtos'!$A$4:$M$204</definedName>
    <definedName name="_xlnm._FilterDatabase" localSheetId="2" hidden="1">'Movimentações'!$A$4:$H$504</definedName>
    <definedName name="_xlnm._FilterDatabase" localSheetId="3" hidden="1">'Lotes'!$A$4:$K$204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R$&quot; #,##0.00"/>
    <numFmt numFmtId="165" formatCode="0.0%"/>
    <numFmt numFmtId="166" formatCode="dd/mm/yyyy"/>
    <numFmt numFmtId="167" formatCode="yyyy-mm-dd"/>
    <numFmt numFmtId="168" formatCode="mmmm yyyy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26579"/>
    </font>
    <font>
      <b val="1"/>
      <color rgb="0017365D"/>
    </font>
    <font>
      <b val="1"/>
      <color rgb="0017365D"/>
      <sz val="2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0F766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166" fontId="0" fillId="0" borderId="1" pivotButton="0" quotePrefix="0" xfId="0"/>
    <xf numFmtId="0" fontId="5" fillId="7" borderId="0" applyAlignment="1" pivotButton="0" quotePrefix="0" xfId="0">
      <alignment horizontal="left" vertical="center" wrapText="1"/>
    </xf>
    <xf numFmtId="168" fontId="0" fillId="0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CONTROLE DE ESTOQUE &amp; VALIDADE</t>
        </is>
      </c>
    </row>
    <row r="2">
      <c r="A2" s="2" t="inlineStr">
        <is>
          <t>Planilha editável para controle de produtos, movimentações, lotes e vencimentos.</t>
        </is>
      </c>
    </row>
    <row r="3"/>
    <row r="4">
      <c r="A4" s="3" t="inlineStr">
        <is>
          <t>PRODUTOS CADASTRADOS</t>
        </is>
      </c>
      <c r="C4" s="4" t="inlineStr">
        <is>
          <t>ESTOQUE TOTAL (UN.)</t>
        </is>
      </c>
      <c r="E4" s="5" t="inlineStr">
        <is>
          <t>ESTOQUE BAIXO</t>
        </is>
      </c>
      <c r="G4" s="6" t="inlineStr">
        <is>
          <t>LOTES VENCIDOS</t>
        </is>
      </c>
    </row>
    <row r="5">
      <c r="A5" s="7">
        <f>COUNTA(Produtos!A5:A204)</f>
        <v/>
      </c>
      <c r="C5" s="8">
        <f>SUM(Produtos!H5:H204)</f>
        <v/>
      </c>
      <c r="E5" s="9">
        <f>COUNTIF(Produtos!L5:L204,"BAIXO")</f>
        <v/>
      </c>
      <c r="G5" s="10">
        <f>COUNTIF(Lotes!J5:J204,"VENCIDO")</f>
        <v/>
      </c>
    </row>
    <row r="6"/>
    <row r="7"/>
    <row r="8" ht="32" customHeight="1">
      <c r="A8" s="11" t="inlineStr">
        <is>
          <t>COMO USAR</t>
        </is>
      </c>
    </row>
    <row r="9" ht="25" customHeight="1">
      <c r="A9" s="12" t="inlineStr">
        <is>
          <t>1. Produtos: cadastre SKU, descrição, categoria, unidade, estoque inicial, mínimo, custo e preço de venda.</t>
        </is>
      </c>
    </row>
    <row r="10" ht="25" customHeight="1">
      <c r="A10" s="12" t="inlineStr">
        <is>
          <t>2. Movimentações: registre cada entrada e saída usando o mesmo SKU da aba Produtos.</t>
        </is>
      </c>
    </row>
    <row r="11" ht="25" customHeight="1">
      <c r="A11" s="12" t="inlineStr">
        <is>
          <t>3. Lotes: registre cada lote separadamente, com validade e quantidade disponível.</t>
        </is>
      </c>
    </row>
    <row r="12" ht="25" customHeight="1">
      <c r="A12" s="12" t="inlineStr">
        <is>
          <t>4. Alertas de validade são calculados automaticamente: vencido, até 7 dias e até 30 dias.</t>
        </is>
      </c>
    </row>
    <row r="13" ht="25" customHeight="1">
      <c r="A13" s="12" t="inlineStr">
        <is>
          <t>5. Revise as fórmulas e teste com dados fictícios antes de comercializar a planilha.</t>
        </is>
      </c>
    </row>
  </sheetData>
  <mergeCells count="16">
    <mergeCell ref="A4:B4"/>
    <mergeCell ref="G4:H4"/>
    <mergeCell ref="E4:F4"/>
    <mergeCell ref="A9:H9"/>
    <mergeCell ref="A12:H12"/>
    <mergeCell ref="A2:H2"/>
    <mergeCell ref="A10:H10"/>
    <mergeCell ref="C5:D6"/>
    <mergeCell ref="A5:B6"/>
    <mergeCell ref="G5:H6"/>
    <mergeCell ref="E5:F6"/>
    <mergeCell ref="A11:H11"/>
    <mergeCell ref="A13:H13"/>
    <mergeCell ref="A1:H1"/>
    <mergeCell ref="A8:H8"/>
    <mergeCell ref="C4:D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  <col width="15" customWidth="1" min="8" max="8"/>
    <col width="20" customWidth="1" min="9" max="9"/>
    <col width="19" customWidth="1" min="10" max="10"/>
    <col width="17" customWidth="1" min="11" max="11"/>
    <col width="16" customWidth="1" min="12" max="12"/>
    <col width="25" customWidth="1" min="13" max="13"/>
  </cols>
  <sheetData>
    <row r="1" ht="32" customHeight="1">
      <c r="A1" s="1" t="inlineStr">
        <is>
          <t>CADASTRO DE PRODUTOS</t>
        </is>
      </c>
    </row>
    <row r="2">
      <c r="A2" s="13" t="inlineStr">
        <is>
          <t>Preencha os campos de cadastro; estoque atual, valor, margem e situação são calculados.</t>
        </is>
      </c>
    </row>
    <row r="3"/>
    <row r="4">
      <c r="A4" s="14" t="inlineStr">
        <is>
          <t>SKU/Código</t>
        </is>
      </c>
      <c r="B4" s="14" t="inlineStr">
        <is>
          <t>Produto</t>
        </is>
      </c>
      <c r="C4" s="14" t="inlineStr">
        <is>
          <t>Categoria</t>
        </is>
      </c>
      <c r="D4" s="14" t="inlineStr">
        <is>
          <t>Unidade</t>
        </is>
      </c>
      <c r="E4" s="14" t="inlineStr">
        <is>
          <t>Estoque inicial</t>
        </is>
      </c>
      <c r="F4" s="14" t="inlineStr">
        <is>
          <t>Estoque mínimo</t>
        </is>
      </c>
      <c r="G4" s="14" t="inlineStr">
        <is>
          <t>Custo unitário (R$)</t>
        </is>
      </c>
      <c r="H4" s="14" t="inlineStr">
        <is>
          <t>Estoque atual</t>
        </is>
      </c>
      <c r="I4" s="14" t="inlineStr">
        <is>
          <t>Valor em estoque (R$)</t>
        </is>
      </c>
      <c r="J4" s="14" t="inlineStr">
        <is>
          <t>Preço de venda (R$)</t>
        </is>
      </c>
      <c r="K4" s="14" t="inlineStr">
        <is>
          <t>Margem bruta (%)</t>
        </is>
      </c>
      <c r="L4" s="14" t="inlineStr">
        <is>
          <t>Status estoque</t>
        </is>
      </c>
      <c r="M4" s="14" t="inlineStr">
        <is>
          <t>Fornecedor</t>
        </is>
      </c>
    </row>
    <row r="5">
      <c r="A5" s="15" t="n"/>
      <c r="B5" s="15" t="n"/>
      <c r="C5" s="15" t="n"/>
      <c r="D5" s="15" t="n"/>
      <c r="E5" s="15" t="n"/>
      <c r="F5" s="15" t="n"/>
      <c r="G5" s="16" t="n"/>
      <c r="H5" s="17">
        <f>IF(A5="","",E5+SUMIF(Movimentações!$C$5:$C$504,A5,Movimentações!$E$5:$E$504)-SUMIF(Movimentações!$C$5:$C$504,A5,Movimentações!$F$5:$F$504))</f>
        <v/>
      </c>
      <c r="I5" s="18">
        <f>IF(A5="","",H5*G5)</f>
        <v/>
      </c>
      <c r="J5" s="16" t="n"/>
      <c r="K5" s="19">
        <f>IFERROR((J5-G5)/J5,0)</f>
        <v/>
      </c>
      <c r="L5" s="17">
        <f>IF(A5="","",IF(H5&lt;=F5,"BAIXO","OK"))</f>
        <v/>
      </c>
      <c r="M5" s="15" t="n"/>
    </row>
    <row r="6">
      <c r="A6" s="15" t="n"/>
      <c r="B6" s="15" t="n"/>
      <c r="C6" s="15" t="n"/>
      <c r="D6" s="15" t="n"/>
      <c r="E6" s="15" t="n"/>
      <c r="F6" s="15" t="n"/>
      <c r="G6" s="16" t="n"/>
      <c r="H6" s="17">
        <f>IF(A6="","",E6+SUMIF(Movimentações!$C$5:$C$504,A6,Movimentações!$E$5:$E$504)-SUMIF(Movimentações!$C$5:$C$504,A6,Movimentações!$F$5:$F$504))</f>
        <v/>
      </c>
      <c r="I6" s="18">
        <f>IF(A6="","",H6*G6)</f>
        <v/>
      </c>
      <c r="J6" s="16" t="n"/>
      <c r="K6" s="19">
        <f>IFERROR((J6-G6)/J6,0)</f>
        <v/>
      </c>
      <c r="L6" s="17">
        <f>IF(A6="","",IF(H6&lt;=F6,"BAIXO","OK"))</f>
        <v/>
      </c>
      <c r="M6" s="15" t="n"/>
    </row>
    <row r="7">
      <c r="A7" s="15" t="n"/>
      <c r="B7" s="15" t="n"/>
      <c r="C7" s="15" t="n"/>
      <c r="D7" s="15" t="n"/>
      <c r="E7" s="15" t="n"/>
      <c r="F7" s="15" t="n"/>
      <c r="G7" s="16" t="n"/>
      <c r="H7" s="17">
        <f>IF(A7="","",E7+SUMIF(Movimentações!$C$5:$C$504,A7,Movimentações!$E$5:$E$504)-SUMIF(Movimentações!$C$5:$C$504,A7,Movimentações!$F$5:$F$504))</f>
        <v/>
      </c>
      <c r="I7" s="18">
        <f>IF(A7="","",H7*G7)</f>
        <v/>
      </c>
      <c r="J7" s="16" t="n"/>
      <c r="K7" s="19">
        <f>IFERROR((J7-G7)/J7,0)</f>
        <v/>
      </c>
      <c r="L7" s="17">
        <f>IF(A7="","",IF(H7&lt;=F7,"BAIXO","OK"))</f>
        <v/>
      </c>
      <c r="M7" s="15" t="n"/>
    </row>
    <row r="8">
      <c r="A8" s="15" t="n"/>
      <c r="B8" s="15" t="n"/>
      <c r="C8" s="15" t="n"/>
      <c r="D8" s="15" t="n"/>
      <c r="E8" s="15" t="n"/>
      <c r="F8" s="15" t="n"/>
      <c r="G8" s="16" t="n"/>
      <c r="H8" s="17">
        <f>IF(A8="","",E8+SUMIF(Movimentações!$C$5:$C$504,A8,Movimentações!$E$5:$E$504)-SUMIF(Movimentações!$C$5:$C$504,A8,Movimentações!$F$5:$F$504))</f>
        <v/>
      </c>
      <c r="I8" s="18">
        <f>IF(A8="","",H8*G8)</f>
        <v/>
      </c>
      <c r="J8" s="16" t="n"/>
      <c r="K8" s="19">
        <f>IFERROR((J8-G8)/J8,0)</f>
        <v/>
      </c>
      <c r="L8" s="17">
        <f>IF(A8="","",IF(H8&lt;=F8,"BAIXO","OK"))</f>
        <v/>
      </c>
      <c r="M8" s="15" t="n"/>
    </row>
    <row r="9">
      <c r="A9" s="15" t="n"/>
      <c r="B9" s="15" t="n"/>
      <c r="C9" s="15" t="n"/>
      <c r="D9" s="15" t="n"/>
      <c r="E9" s="15" t="n"/>
      <c r="F9" s="15" t="n"/>
      <c r="G9" s="16" t="n"/>
      <c r="H9" s="17">
        <f>IF(A9="","",E9+SUMIF(Movimentações!$C$5:$C$504,A9,Movimentações!$E$5:$E$504)-SUMIF(Movimentações!$C$5:$C$504,A9,Movimentações!$F$5:$F$504))</f>
        <v/>
      </c>
      <c r="I9" s="18">
        <f>IF(A9="","",H9*G9)</f>
        <v/>
      </c>
      <c r="J9" s="16" t="n"/>
      <c r="K9" s="19">
        <f>IFERROR((J9-G9)/J9,0)</f>
        <v/>
      </c>
      <c r="L9" s="17">
        <f>IF(A9="","",IF(H9&lt;=F9,"BAIXO","OK"))</f>
        <v/>
      </c>
      <c r="M9" s="15" t="n"/>
    </row>
    <row r="10">
      <c r="A10" s="15" t="n"/>
      <c r="B10" s="15" t="n"/>
      <c r="C10" s="15" t="n"/>
      <c r="D10" s="15" t="n"/>
      <c r="E10" s="15" t="n"/>
      <c r="F10" s="15" t="n"/>
      <c r="G10" s="16" t="n"/>
      <c r="H10" s="17">
        <f>IF(A10="","",E10+SUMIF(Movimentações!$C$5:$C$504,A10,Movimentações!$E$5:$E$504)-SUMIF(Movimentações!$C$5:$C$504,A10,Movimentações!$F$5:$F$504))</f>
        <v/>
      </c>
      <c r="I10" s="18">
        <f>IF(A10="","",H10*G10)</f>
        <v/>
      </c>
      <c r="J10" s="16" t="n"/>
      <c r="K10" s="19">
        <f>IFERROR((J10-G10)/J10,0)</f>
        <v/>
      </c>
      <c r="L10" s="17">
        <f>IF(A10="","",IF(H10&lt;=F10,"BAIXO","OK"))</f>
        <v/>
      </c>
      <c r="M10" s="15" t="n"/>
    </row>
    <row r="11">
      <c r="A11" s="15" t="n"/>
      <c r="B11" s="15" t="n"/>
      <c r="C11" s="15" t="n"/>
      <c r="D11" s="15" t="n"/>
      <c r="E11" s="15" t="n"/>
      <c r="F11" s="15" t="n"/>
      <c r="G11" s="16" t="n"/>
      <c r="H11" s="17">
        <f>IF(A11="","",E11+SUMIF(Movimentações!$C$5:$C$504,A11,Movimentações!$E$5:$E$504)-SUMIF(Movimentações!$C$5:$C$504,A11,Movimentações!$F$5:$F$504))</f>
        <v/>
      </c>
      <c r="I11" s="18">
        <f>IF(A11="","",H11*G11)</f>
        <v/>
      </c>
      <c r="J11" s="16" t="n"/>
      <c r="K11" s="19">
        <f>IFERROR((J11-G11)/J11,0)</f>
        <v/>
      </c>
      <c r="L11" s="17">
        <f>IF(A11="","",IF(H11&lt;=F11,"BAIXO","OK"))</f>
        <v/>
      </c>
      <c r="M11" s="15" t="n"/>
    </row>
    <row r="12">
      <c r="A12" s="15" t="n"/>
      <c r="B12" s="15" t="n"/>
      <c r="C12" s="15" t="n"/>
      <c r="D12" s="15" t="n"/>
      <c r="E12" s="15" t="n"/>
      <c r="F12" s="15" t="n"/>
      <c r="G12" s="16" t="n"/>
      <c r="H12" s="17">
        <f>IF(A12="","",E12+SUMIF(Movimentações!$C$5:$C$504,A12,Movimentações!$E$5:$E$504)-SUMIF(Movimentações!$C$5:$C$504,A12,Movimentações!$F$5:$F$504))</f>
        <v/>
      </c>
      <c r="I12" s="18">
        <f>IF(A12="","",H12*G12)</f>
        <v/>
      </c>
      <c r="J12" s="16" t="n"/>
      <c r="K12" s="19">
        <f>IFERROR((J12-G12)/J12,0)</f>
        <v/>
      </c>
      <c r="L12" s="17">
        <f>IF(A12="","",IF(H12&lt;=F12,"BAIXO","OK"))</f>
        <v/>
      </c>
      <c r="M12" s="15" t="n"/>
    </row>
    <row r="13">
      <c r="A13" s="15" t="n"/>
      <c r="B13" s="15" t="n"/>
      <c r="C13" s="15" t="n"/>
      <c r="D13" s="15" t="n"/>
      <c r="E13" s="15" t="n"/>
      <c r="F13" s="15" t="n"/>
      <c r="G13" s="16" t="n"/>
      <c r="H13" s="17">
        <f>IF(A13="","",E13+SUMIF(Movimentações!$C$5:$C$504,A13,Movimentações!$E$5:$E$504)-SUMIF(Movimentações!$C$5:$C$504,A13,Movimentações!$F$5:$F$504))</f>
        <v/>
      </c>
      <c r="I13" s="18">
        <f>IF(A13="","",H13*G13)</f>
        <v/>
      </c>
      <c r="J13" s="16" t="n"/>
      <c r="K13" s="19">
        <f>IFERROR((J13-G13)/J13,0)</f>
        <v/>
      </c>
      <c r="L13" s="17">
        <f>IF(A13="","",IF(H13&lt;=F13,"BAIXO","OK"))</f>
        <v/>
      </c>
      <c r="M13" s="15" t="n"/>
    </row>
    <row r="14">
      <c r="A14" s="15" t="n"/>
      <c r="B14" s="15" t="n"/>
      <c r="C14" s="15" t="n"/>
      <c r="D14" s="15" t="n"/>
      <c r="E14" s="15" t="n"/>
      <c r="F14" s="15" t="n"/>
      <c r="G14" s="16" t="n"/>
      <c r="H14" s="17">
        <f>IF(A14="","",E14+SUMIF(Movimentações!$C$5:$C$504,A14,Movimentações!$E$5:$E$504)-SUMIF(Movimentações!$C$5:$C$504,A14,Movimentações!$F$5:$F$504))</f>
        <v/>
      </c>
      <c r="I14" s="18">
        <f>IF(A14="","",H14*G14)</f>
        <v/>
      </c>
      <c r="J14" s="16" t="n"/>
      <c r="K14" s="19">
        <f>IFERROR((J14-G14)/J14,0)</f>
        <v/>
      </c>
      <c r="L14" s="17">
        <f>IF(A14="","",IF(H14&lt;=F14,"BAIXO","OK"))</f>
        <v/>
      </c>
      <c r="M14" s="15" t="n"/>
    </row>
    <row r="15">
      <c r="A15" s="15" t="n"/>
      <c r="B15" s="15" t="n"/>
      <c r="C15" s="15" t="n"/>
      <c r="D15" s="15" t="n"/>
      <c r="E15" s="15" t="n"/>
      <c r="F15" s="15" t="n"/>
      <c r="G15" s="16" t="n"/>
      <c r="H15" s="17">
        <f>IF(A15="","",E15+SUMIF(Movimentações!$C$5:$C$504,A15,Movimentações!$E$5:$E$504)-SUMIF(Movimentações!$C$5:$C$504,A15,Movimentações!$F$5:$F$504))</f>
        <v/>
      </c>
      <c r="I15" s="18">
        <f>IF(A15="","",H15*G15)</f>
        <v/>
      </c>
      <c r="J15" s="16" t="n"/>
      <c r="K15" s="19">
        <f>IFERROR((J15-G15)/J15,0)</f>
        <v/>
      </c>
      <c r="L15" s="17">
        <f>IF(A15="","",IF(H15&lt;=F15,"BAIXO","OK"))</f>
        <v/>
      </c>
      <c r="M15" s="15" t="n"/>
    </row>
    <row r="16">
      <c r="A16" s="15" t="n"/>
      <c r="B16" s="15" t="n"/>
      <c r="C16" s="15" t="n"/>
      <c r="D16" s="15" t="n"/>
      <c r="E16" s="15" t="n"/>
      <c r="F16" s="15" t="n"/>
      <c r="G16" s="16" t="n"/>
      <c r="H16" s="17">
        <f>IF(A16="","",E16+SUMIF(Movimentações!$C$5:$C$504,A16,Movimentações!$E$5:$E$504)-SUMIF(Movimentações!$C$5:$C$504,A16,Movimentações!$F$5:$F$504))</f>
        <v/>
      </c>
      <c r="I16" s="18">
        <f>IF(A16="","",H16*G16)</f>
        <v/>
      </c>
      <c r="J16" s="16" t="n"/>
      <c r="K16" s="19">
        <f>IFERROR((J16-G16)/J16,0)</f>
        <v/>
      </c>
      <c r="L16" s="17">
        <f>IF(A16="","",IF(H16&lt;=F16,"BAIXO","OK"))</f>
        <v/>
      </c>
      <c r="M16" s="15" t="n"/>
    </row>
    <row r="17">
      <c r="A17" s="15" t="n"/>
      <c r="B17" s="15" t="n"/>
      <c r="C17" s="15" t="n"/>
      <c r="D17" s="15" t="n"/>
      <c r="E17" s="15" t="n"/>
      <c r="F17" s="15" t="n"/>
      <c r="G17" s="16" t="n"/>
      <c r="H17" s="17">
        <f>IF(A17="","",E17+SUMIF(Movimentações!$C$5:$C$504,A17,Movimentações!$E$5:$E$504)-SUMIF(Movimentações!$C$5:$C$504,A17,Movimentações!$F$5:$F$504))</f>
        <v/>
      </c>
      <c r="I17" s="18">
        <f>IF(A17="","",H17*G17)</f>
        <v/>
      </c>
      <c r="J17" s="16" t="n"/>
      <c r="K17" s="19">
        <f>IFERROR((J17-G17)/J17,0)</f>
        <v/>
      </c>
      <c r="L17" s="17">
        <f>IF(A17="","",IF(H17&lt;=F17,"BAIXO","OK"))</f>
        <v/>
      </c>
      <c r="M17" s="15" t="n"/>
    </row>
    <row r="18">
      <c r="A18" s="15" t="n"/>
      <c r="B18" s="15" t="n"/>
      <c r="C18" s="15" t="n"/>
      <c r="D18" s="15" t="n"/>
      <c r="E18" s="15" t="n"/>
      <c r="F18" s="15" t="n"/>
      <c r="G18" s="16" t="n"/>
      <c r="H18" s="17">
        <f>IF(A18="","",E18+SUMIF(Movimentações!$C$5:$C$504,A18,Movimentações!$E$5:$E$504)-SUMIF(Movimentações!$C$5:$C$504,A18,Movimentações!$F$5:$F$504))</f>
        <v/>
      </c>
      <c r="I18" s="18">
        <f>IF(A18="","",H18*G18)</f>
        <v/>
      </c>
      <c r="J18" s="16" t="n"/>
      <c r="K18" s="19">
        <f>IFERROR((J18-G18)/J18,0)</f>
        <v/>
      </c>
      <c r="L18" s="17">
        <f>IF(A18="","",IF(H18&lt;=F18,"BAIXO","OK"))</f>
        <v/>
      </c>
      <c r="M18" s="15" t="n"/>
    </row>
    <row r="19">
      <c r="A19" s="15" t="n"/>
      <c r="B19" s="15" t="n"/>
      <c r="C19" s="15" t="n"/>
      <c r="D19" s="15" t="n"/>
      <c r="E19" s="15" t="n"/>
      <c r="F19" s="15" t="n"/>
      <c r="G19" s="16" t="n"/>
      <c r="H19" s="17">
        <f>IF(A19="","",E19+SUMIF(Movimentações!$C$5:$C$504,A19,Movimentações!$E$5:$E$504)-SUMIF(Movimentações!$C$5:$C$504,A19,Movimentações!$F$5:$F$504))</f>
        <v/>
      </c>
      <c r="I19" s="18">
        <f>IF(A19="","",H19*G19)</f>
        <v/>
      </c>
      <c r="J19" s="16" t="n"/>
      <c r="K19" s="19">
        <f>IFERROR((J19-G19)/J19,0)</f>
        <v/>
      </c>
      <c r="L19" s="17">
        <f>IF(A19="","",IF(H19&lt;=F19,"BAIXO","OK"))</f>
        <v/>
      </c>
      <c r="M19" s="15" t="n"/>
    </row>
    <row r="20">
      <c r="A20" s="15" t="n"/>
      <c r="B20" s="15" t="n"/>
      <c r="C20" s="15" t="n"/>
      <c r="D20" s="15" t="n"/>
      <c r="E20" s="15" t="n"/>
      <c r="F20" s="15" t="n"/>
      <c r="G20" s="16" t="n"/>
      <c r="H20" s="17">
        <f>IF(A20="","",E20+SUMIF(Movimentações!$C$5:$C$504,A20,Movimentações!$E$5:$E$504)-SUMIF(Movimentações!$C$5:$C$504,A20,Movimentações!$F$5:$F$504))</f>
        <v/>
      </c>
      <c r="I20" s="18">
        <f>IF(A20="","",H20*G20)</f>
        <v/>
      </c>
      <c r="J20" s="16" t="n"/>
      <c r="K20" s="19">
        <f>IFERROR((J20-G20)/J20,0)</f>
        <v/>
      </c>
      <c r="L20" s="17">
        <f>IF(A20="","",IF(H20&lt;=F20,"BAIXO","OK"))</f>
        <v/>
      </c>
      <c r="M20" s="15" t="n"/>
    </row>
    <row r="21">
      <c r="A21" s="15" t="n"/>
      <c r="B21" s="15" t="n"/>
      <c r="C21" s="15" t="n"/>
      <c r="D21" s="15" t="n"/>
      <c r="E21" s="15" t="n"/>
      <c r="F21" s="15" t="n"/>
      <c r="G21" s="16" t="n"/>
      <c r="H21" s="17">
        <f>IF(A21="","",E21+SUMIF(Movimentações!$C$5:$C$504,A21,Movimentações!$E$5:$E$504)-SUMIF(Movimentações!$C$5:$C$504,A21,Movimentações!$F$5:$F$504))</f>
        <v/>
      </c>
      <c r="I21" s="18">
        <f>IF(A21="","",H21*G21)</f>
        <v/>
      </c>
      <c r="J21" s="16" t="n"/>
      <c r="K21" s="19">
        <f>IFERROR((J21-G21)/J21,0)</f>
        <v/>
      </c>
      <c r="L21" s="17">
        <f>IF(A21="","",IF(H21&lt;=F21,"BAIXO","OK"))</f>
        <v/>
      </c>
      <c r="M21" s="15" t="n"/>
    </row>
    <row r="22">
      <c r="A22" s="15" t="n"/>
      <c r="B22" s="15" t="n"/>
      <c r="C22" s="15" t="n"/>
      <c r="D22" s="15" t="n"/>
      <c r="E22" s="15" t="n"/>
      <c r="F22" s="15" t="n"/>
      <c r="G22" s="16" t="n"/>
      <c r="H22" s="17">
        <f>IF(A22="","",E22+SUMIF(Movimentações!$C$5:$C$504,A22,Movimentações!$E$5:$E$504)-SUMIF(Movimentações!$C$5:$C$504,A22,Movimentações!$F$5:$F$504))</f>
        <v/>
      </c>
      <c r="I22" s="18">
        <f>IF(A22="","",H22*G22)</f>
        <v/>
      </c>
      <c r="J22" s="16" t="n"/>
      <c r="K22" s="19">
        <f>IFERROR((J22-G22)/J22,0)</f>
        <v/>
      </c>
      <c r="L22" s="17">
        <f>IF(A22="","",IF(H22&lt;=F22,"BAIXO","OK"))</f>
        <v/>
      </c>
      <c r="M22" s="15" t="n"/>
    </row>
    <row r="23">
      <c r="A23" s="15" t="n"/>
      <c r="B23" s="15" t="n"/>
      <c r="C23" s="15" t="n"/>
      <c r="D23" s="15" t="n"/>
      <c r="E23" s="15" t="n"/>
      <c r="F23" s="15" t="n"/>
      <c r="G23" s="16" t="n"/>
      <c r="H23" s="17">
        <f>IF(A23="","",E23+SUMIF(Movimentações!$C$5:$C$504,A23,Movimentações!$E$5:$E$504)-SUMIF(Movimentações!$C$5:$C$504,A23,Movimentações!$F$5:$F$504))</f>
        <v/>
      </c>
      <c r="I23" s="18">
        <f>IF(A23="","",H23*G23)</f>
        <v/>
      </c>
      <c r="J23" s="16" t="n"/>
      <c r="K23" s="19">
        <f>IFERROR((J23-G23)/J23,0)</f>
        <v/>
      </c>
      <c r="L23" s="17">
        <f>IF(A23="","",IF(H23&lt;=F23,"BAIXO","OK"))</f>
        <v/>
      </c>
      <c r="M23" s="15" t="n"/>
    </row>
    <row r="24">
      <c r="A24" s="15" t="n"/>
      <c r="B24" s="15" t="n"/>
      <c r="C24" s="15" t="n"/>
      <c r="D24" s="15" t="n"/>
      <c r="E24" s="15" t="n"/>
      <c r="F24" s="15" t="n"/>
      <c r="G24" s="16" t="n"/>
      <c r="H24" s="17">
        <f>IF(A24="","",E24+SUMIF(Movimentações!$C$5:$C$504,A24,Movimentações!$E$5:$E$504)-SUMIF(Movimentações!$C$5:$C$504,A24,Movimentações!$F$5:$F$504))</f>
        <v/>
      </c>
      <c r="I24" s="18">
        <f>IF(A24="","",H24*G24)</f>
        <v/>
      </c>
      <c r="J24" s="16" t="n"/>
      <c r="K24" s="19">
        <f>IFERROR((J24-G24)/J24,0)</f>
        <v/>
      </c>
      <c r="L24" s="17">
        <f>IF(A24="","",IF(H24&lt;=F24,"BAIXO","OK"))</f>
        <v/>
      </c>
      <c r="M24" s="15" t="n"/>
    </row>
    <row r="25">
      <c r="A25" s="15" t="n"/>
      <c r="B25" s="15" t="n"/>
      <c r="C25" s="15" t="n"/>
      <c r="D25" s="15" t="n"/>
      <c r="E25" s="15" t="n"/>
      <c r="F25" s="15" t="n"/>
      <c r="G25" s="16" t="n"/>
      <c r="H25" s="17">
        <f>IF(A25="","",E25+SUMIF(Movimentações!$C$5:$C$504,A25,Movimentações!$E$5:$E$504)-SUMIF(Movimentações!$C$5:$C$504,A25,Movimentações!$F$5:$F$504))</f>
        <v/>
      </c>
      <c r="I25" s="18">
        <f>IF(A25="","",H25*G25)</f>
        <v/>
      </c>
      <c r="J25" s="16" t="n"/>
      <c r="K25" s="19">
        <f>IFERROR((J25-G25)/J25,0)</f>
        <v/>
      </c>
      <c r="L25" s="17">
        <f>IF(A25="","",IF(H25&lt;=F25,"BAIXO","OK"))</f>
        <v/>
      </c>
      <c r="M25" s="15" t="n"/>
    </row>
    <row r="26">
      <c r="A26" s="15" t="n"/>
      <c r="B26" s="15" t="n"/>
      <c r="C26" s="15" t="n"/>
      <c r="D26" s="15" t="n"/>
      <c r="E26" s="15" t="n"/>
      <c r="F26" s="15" t="n"/>
      <c r="G26" s="16" t="n"/>
      <c r="H26" s="17">
        <f>IF(A26="","",E26+SUMIF(Movimentações!$C$5:$C$504,A26,Movimentações!$E$5:$E$504)-SUMIF(Movimentações!$C$5:$C$504,A26,Movimentações!$F$5:$F$504))</f>
        <v/>
      </c>
      <c r="I26" s="18">
        <f>IF(A26="","",H26*G26)</f>
        <v/>
      </c>
      <c r="J26" s="16" t="n"/>
      <c r="K26" s="19">
        <f>IFERROR((J26-G26)/J26,0)</f>
        <v/>
      </c>
      <c r="L26" s="17">
        <f>IF(A26="","",IF(H26&lt;=F26,"BAIXO","OK"))</f>
        <v/>
      </c>
      <c r="M26" s="15" t="n"/>
    </row>
    <row r="27">
      <c r="A27" s="15" t="n"/>
      <c r="B27" s="15" t="n"/>
      <c r="C27" s="15" t="n"/>
      <c r="D27" s="15" t="n"/>
      <c r="E27" s="15" t="n"/>
      <c r="F27" s="15" t="n"/>
      <c r="G27" s="16" t="n"/>
      <c r="H27" s="17">
        <f>IF(A27="","",E27+SUMIF(Movimentações!$C$5:$C$504,A27,Movimentações!$E$5:$E$504)-SUMIF(Movimentações!$C$5:$C$504,A27,Movimentações!$F$5:$F$504))</f>
        <v/>
      </c>
      <c r="I27" s="18">
        <f>IF(A27="","",H27*G27)</f>
        <v/>
      </c>
      <c r="J27" s="16" t="n"/>
      <c r="K27" s="19">
        <f>IFERROR((J27-G27)/J27,0)</f>
        <v/>
      </c>
      <c r="L27" s="17">
        <f>IF(A27="","",IF(H27&lt;=F27,"BAIXO","OK"))</f>
        <v/>
      </c>
      <c r="M27" s="15" t="n"/>
    </row>
    <row r="28">
      <c r="A28" s="15" t="n"/>
      <c r="B28" s="15" t="n"/>
      <c r="C28" s="15" t="n"/>
      <c r="D28" s="15" t="n"/>
      <c r="E28" s="15" t="n"/>
      <c r="F28" s="15" t="n"/>
      <c r="G28" s="16" t="n"/>
      <c r="H28" s="17">
        <f>IF(A28="","",E28+SUMIF(Movimentações!$C$5:$C$504,A28,Movimentações!$E$5:$E$504)-SUMIF(Movimentações!$C$5:$C$504,A28,Movimentações!$F$5:$F$504))</f>
        <v/>
      </c>
      <c r="I28" s="18">
        <f>IF(A28="","",H28*G28)</f>
        <v/>
      </c>
      <c r="J28" s="16" t="n"/>
      <c r="K28" s="19">
        <f>IFERROR((J28-G28)/J28,0)</f>
        <v/>
      </c>
      <c r="L28" s="17">
        <f>IF(A28="","",IF(H28&lt;=F28,"BAIXO","OK"))</f>
        <v/>
      </c>
      <c r="M28" s="15" t="n"/>
    </row>
    <row r="29">
      <c r="A29" s="15" t="n"/>
      <c r="B29" s="15" t="n"/>
      <c r="C29" s="15" t="n"/>
      <c r="D29" s="15" t="n"/>
      <c r="E29" s="15" t="n"/>
      <c r="F29" s="15" t="n"/>
      <c r="G29" s="16" t="n"/>
      <c r="H29" s="17">
        <f>IF(A29="","",E29+SUMIF(Movimentações!$C$5:$C$504,A29,Movimentações!$E$5:$E$504)-SUMIF(Movimentações!$C$5:$C$504,A29,Movimentações!$F$5:$F$504))</f>
        <v/>
      </c>
      <c r="I29" s="18">
        <f>IF(A29="","",H29*G29)</f>
        <v/>
      </c>
      <c r="J29" s="16" t="n"/>
      <c r="K29" s="19">
        <f>IFERROR((J29-G29)/J29,0)</f>
        <v/>
      </c>
      <c r="L29" s="17">
        <f>IF(A29="","",IF(H29&lt;=F29,"BAIXO","OK"))</f>
        <v/>
      </c>
      <c r="M29" s="15" t="n"/>
    </row>
    <row r="30">
      <c r="A30" s="15" t="n"/>
      <c r="B30" s="15" t="n"/>
      <c r="C30" s="15" t="n"/>
      <c r="D30" s="15" t="n"/>
      <c r="E30" s="15" t="n"/>
      <c r="F30" s="15" t="n"/>
      <c r="G30" s="16" t="n"/>
      <c r="H30" s="17">
        <f>IF(A30="","",E30+SUMIF(Movimentações!$C$5:$C$504,A30,Movimentações!$E$5:$E$504)-SUMIF(Movimentações!$C$5:$C$504,A30,Movimentações!$F$5:$F$504))</f>
        <v/>
      </c>
      <c r="I30" s="18">
        <f>IF(A30="","",H30*G30)</f>
        <v/>
      </c>
      <c r="J30" s="16" t="n"/>
      <c r="K30" s="19">
        <f>IFERROR((J30-G30)/J30,0)</f>
        <v/>
      </c>
      <c r="L30" s="17">
        <f>IF(A30="","",IF(H30&lt;=F30,"BAIXO","OK"))</f>
        <v/>
      </c>
      <c r="M30" s="15" t="n"/>
    </row>
    <row r="31">
      <c r="A31" s="15" t="n"/>
      <c r="B31" s="15" t="n"/>
      <c r="C31" s="15" t="n"/>
      <c r="D31" s="15" t="n"/>
      <c r="E31" s="15" t="n"/>
      <c r="F31" s="15" t="n"/>
      <c r="G31" s="16" t="n"/>
      <c r="H31" s="17">
        <f>IF(A31="","",E31+SUMIF(Movimentações!$C$5:$C$504,A31,Movimentações!$E$5:$E$504)-SUMIF(Movimentações!$C$5:$C$504,A31,Movimentações!$F$5:$F$504))</f>
        <v/>
      </c>
      <c r="I31" s="18">
        <f>IF(A31="","",H31*G31)</f>
        <v/>
      </c>
      <c r="J31" s="16" t="n"/>
      <c r="K31" s="19">
        <f>IFERROR((J31-G31)/J31,0)</f>
        <v/>
      </c>
      <c r="L31" s="17">
        <f>IF(A31="","",IF(H31&lt;=F31,"BAIXO","OK"))</f>
        <v/>
      </c>
      <c r="M31" s="15" t="n"/>
    </row>
    <row r="32">
      <c r="A32" s="15" t="n"/>
      <c r="B32" s="15" t="n"/>
      <c r="C32" s="15" t="n"/>
      <c r="D32" s="15" t="n"/>
      <c r="E32" s="15" t="n"/>
      <c r="F32" s="15" t="n"/>
      <c r="G32" s="16" t="n"/>
      <c r="H32" s="17">
        <f>IF(A32="","",E32+SUMIF(Movimentações!$C$5:$C$504,A32,Movimentações!$E$5:$E$504)-SUMIF(Movimentações!$C$5:$C$504,A32,Movimentações!$F$5:$F$504))</f>
        <v/>
      </c>
      <c r="I32" s="18">
        <f>IF(A32="","",H32*G32)</f>
        <v/>
      </c>
      <c r="J32" s="16" t="n"/>
      <c r="K32" s="19">
        <f>IFERROR((J32-G32)/J32,0)</f>
        <v/>
      </c>
      <c r="L32" s="17">
        <f>IF(A32="","",IF(H32&lt;=F32,"BAIXO","OK"))</f>
        <v/>
      </c>
      <c r="M32" s="15" t="n"/>
    </row>
    <row r="33">
      <c r="A33" s="15" t="n"/>
      <c r="B33" s="15" t="n"/>
      <c r="C33" s="15" t="n"/>
      <c r="D33" s="15" t="n"/>
      <c r="E33" s="15" t="n"/>
      <c r="F33" s="15" t="n"/>
      <c r="G33" s="16" t="n"/>
      <c r="H33" s="17">
        <f>IF(A33="","",E33+SUMIF(Movimentações!$C$5:$C$504,A33,Movimentações!$E$5:$E$504)-SUMIF(Movimentações!$C$5:$C$504,A33,Movimentações!$F$5:$F$504))</f>
        <v/>
      </c>
      <c r="I33" s="18">
        <f>IF(A33="","",H33*G33)</f>
        <v/>
      </c>
      <c r="J33" s="16" t="n"/>
      <c r="K33" s="19">
        <f>IFERROR((J33-G33)/J33,0)</f>
        <v/>
      </c>
      <c r="L33" s="17">
        <f>IF(A33="","",IF(H33&lt;=F33,"BAIXO","OK"))</f>
        <v/>
      </c>
      <c r="M33" s="15" t="n"/>
    </row>
    <row r="34">
      <c r="A34" s="15" t="n"/>
      <c r="B34" s="15" t="n"/>
      <c r="C34" s="15" t="n"/>
      <c r="D34" s="15" t="n"/>
      <c r="E34" s="15" t="n"/>
      <c r="F34" s="15" t="n"/>
      <c r="G34" s="16" t="n"/>
      <c r="H34" s="17">
        <f>IF(A34="","",E34+SUMIF(Movimentações!$C$5:$C$504,A34,Movimentações!$E$5:$E$504)-SUMIF(Movimentações!$C$5:$C$504,A34,Movimentações!$F$5:$F$504))</f>
        <v/>
      </c>
      <c r="I34" s="18">
        <f>IF(A34="","",H34*G34)</f>
        <v/>
      </c>
      <c r="J34" s="16" t="n"/>
      <c r="K34" s="19">
        <f>IFERROR((J34-G34)/J34,0)</f>
        <v/>
      </c>
      <c r="L34" s="17">
        <f>IF(A34="","",IF(H34&lt;=F34,"BAIXO","OK"))</f>
        <v/>
      </c>
      <c r="M34" s="15" t="n"/>
    </row>
    <row r="35">
      <c r="A35" s="15" t="n"/>
      <c r="B35" s="15" t="n"/>
      <c r="C35" s="15" t="n"/>
      <c r="D35" s="15" t="n"/>
      <c r="E35" s="15" t="n"/>
      <c r="F35" s="15" t="n"/>
      <c r="G35" s="16" t="n"/>
      <c r="H35" s="17">
        <f>IF(A35="","",E35+SUMIF(Movimentações!$C$5:$C$504,A35,Movimentações!$E$5:$E$504)-SUMIF(Movimentações!$C$5:$C$504,A35,Movimentações!$F$5:$F$504))</f>
        <v/>
      </c>
      <c r="I35" s="18">
        <f>IF(A35="","",H35*G35)</f>
        <v/>
      </c>
      <c r="J35" s="16" t="n"/>
      <c r="K35" s="19">
        <f>IFERROR((J35-G35)/J35,0)</f>
        <v/>
      </c>
      <c r="L35" s="17">
        <f>IF(A35="","",IF(H35&lt;=F35,"BAIXO","OK"))</f>
        <v/>
      </c>
      <c r="M35" s="15" t="n"/>
    </row>
    <row r="36">
      <c r="A36" s="15" t="n"/>
      <c r="B36" s="15" t="n"/>
      <c r="C36" s="15" t="n"/>
      <c r="D36" s="15" t="n"/>
      <c r="E36" s="15" t="n"/>
      <c r="F36" s="15" t="n"/>
      <c r="G36" s="16" t="n"/>
      <c r="H36" s="17">
        <f>IF(A36="","",E36+SUMIF(Movimentações!$C$5:$C$504,A36,Movimentações!$E$5:$E$504)-SUMIF(Movimentações!$C$5:$C$504,A36,Movimentações!$F$5:$F$504))</f>
        <v/>
      </c>
      <c r="I36" s="18">
        <f>IF(A36="","",H36*G36)</f>
        <v/>
      </c>
      <c r="J36" s="16" t="n"/>
      <c r="K36" s="19">
        <f>IFERROR((J36-G36)/J36,0)</f>
        <v/>
      </c>
      <c r="L36" s="17">
        <f>IF(A36="","",IF(H36&lt;=F36,"BAIXO","OK"))</f>
        <v/>
      </c>
      <c r="M36" s="15" t="n"/>
    </row>
    <row r="37">
      <c r="A37" s="15" t="n"/>
      <c r="B37" s="15" t="n"/>
      <c r="C37" s="15" t="n"/>
      <c r="D37" s="15" t="n"/>
      <c r="E37" s="15" t="n"/>
      <c r="F37" s="15" t="n"/>
      <c r="G37" s="16" t="n"/>
      <c r="H37" s="17">
        <f>IF(A37="","",E37+SUMIF(Movimentações!$C$5:$C$504,A37,Movimentações!$E$5:$E$504)-SUMIF(Movimentações!$C$5:$C$504,A37,Movimentações!$F$5:$F$504))</f>
        <v/>
      </c>
      <c r="I37" s="18">
        <f>IF(A37="","",H37*G37)</f>
        <v/>
      </c>
      <c r="J37" s="16" t="n"/>
      <c r="K37" s="19">
        <f>IFERROR((J37-G37)/J37,0)</f>
        <v/>
      </c>
      <c r="L37" s="17">
        <f>IF(A37="","",IF(H37&lt;=F37,"BAIXO","OK"))</f>
        <v/>
      </c>
      <c r="M37" s="15" t="n"/>
    </row>
    <row r="38">
      <c r="A38" s="15" t="n"/>
      <c r="B38" s="15" t="n"/>
      <c r="C38" s="15" t="n"/>
      <c r="D38" s="15" t="n"/>
      <c r="E38" s="15" t="n"/>
      <c r="F38" s="15" t="n"/>
      <c r="G38" s="16" t="n"/>
      <c r="H38" s="17">
        <f>IF(A38="","",E38+SUMIF(Movimentações!$C$5:$C$504,A38,Movimentações!$E$5:$E$504)-SUMIF(Movimentações!$C$5:$C$504,A38,Movimentações!$F$5:$F$504))</f>
        <v/>
      </c>
      <c r="I38" s="18">
        <f>IF(A38="","",H38*G38)</f>
        <v/>
      </c>
      <c r="J38" s="16" t="n"/>
      <c r="K38" s="19">
        <f>IFERROR((J38-G38)/J38,0)</f>
        <v/>
      </c>
      <c r="L38" s="17">
        <f>IF(A38="","",IF(H38&lt;=F38,"BAIXO","OK"))</f>
        <v/>
      </c>
      <c r="M38" s="15" t="n"/>
    </row>
    <row r="39">
      <c r="A39" s="15" t="n"/>
      <c r="B39" s="15" t="n"/>
      <c r="C39" s="15" t="n"/>
      <c r="D39" s="15" t="n"/>
      <c r="E39" s="15" t="n"/>
      <c r="F39" s="15" t="n"/>
      <c r="G39" s="16" t="n"/>
      <c r="H39" s="17">
        <f>IF(A39="","",E39+SUMIF(Movimentações!$C$5:$C$504,A39,Movimentações!$E$5:$E$504)-SUMIF(Movimentações!$C$5:$C$504,A39,Movimentações!$F$5:$F$504))</f>
        <v/>
      </c>
      <c r="I39" s="18">
        <f>IF(A39="","",H39*G39)</f>
        <v/>
      </c>
      <c r="J39" s="16" t="n"/>
      <c r="K39" s="19">
        <f>IFERROR((J39-G39)/J39,0)</f>
        <v/>
      </c>
      <c r="L39" s="17">
        <f>IF(A39="","",IF(H39&lt;=F39,"BAIXO","OK"))</f>
        <v/>
      </c>
      <c r="M39" s="15" t="n"/>
    </row>
    <row r="40">
      <c r="A40" s="15" t="n"/>
      <c r="B40" s="15" t="n"/>
      <c r="C40" s="15" t="n"/>
      <c r="D40" s="15" t="n"/>
      <c r="E40" s="15" t="n"/>
      <c r="F40" s="15" t="n"/>
      <c r="G40" s="16" t="n"/>
      <c r="H40" s="17">
        <f>IF(A40="","",E40+SUMIF(Movimentações!$C$5:$C$504,A40,Movimentações!$E$5:$E$504)-SUMIF(Movimentações!$C$5:$C$504,A40,Movimentações!$F$5:$F$504))</f>
        <v/>
      </c>
      <c r="I40" s="18">
        <f>IF(A40="","",H40*G40)</f>
        <v/>
      </c>
      <c r="J40" s="16" t="n"/>
      <c r="K40" s="19">
        <f>IFERROR((J40-G40)/J40,0)</f>
        <v/>
      </c>
      <c r="L40" s="17">
        <f>IF(A40="","",IF(H40&lt;=F40,"BAIXO","OK"))</f>
        <v/>
      </c>
      <c r="M40" s="15" t="n"/>
    </row>
    <row r="41">
      <c r="A41" s="15" t="n"/>
      <c r="B41" s="15" t="n"/>
      <c r="C41" s="15" t="n"/>
      <c r="D41" s="15" t="n"/>
      <c r="E41" s="15" t="n"/>
      <c r="F41" s="15" t="n"/>
      <c r="G41" s="16" t="n"/>
      <c r="H41" s="17">
        <f>IF(A41="","",E41+SUMIF(Movimentações!$C$5:$C$504,A41,Movimentações!$E$5:$E$504)-SUMIF(Movimentações!$C$5:$C$504,A41,Movimentações!$F$5:$F$504))</f>
        <v/>
      </c>
      <c r="I41" s="18">
        <f>IF(A41="","",H41*G41)</f>
        <v/>
      </c>
      <c r="J41" s="16" t="n"/>
      <c r="K41" s="19">
        <f>IFERROR((J41-G41)/J41,0)</f>
        <v/>
      </c>
      <c r="L41" s="17">
        <f>IF(A41="","",IF(H41&lt;=F41,"BAIXO","OK"))</f>
        <v/>
      </c>
      <c r="M41" s="15" t="n"/>
    </row>
    <row r="42">
      <c r="A42" s="15" t="n"/>
      <c r="B42" s="15" t="n"/>
      <c r="C42" s="15" t="n"/>
      <c r="D42" s="15" t="n"/>
      <c r="E42" s="15" t="n"/>
      <c r="F42" s="15" t="n"/>
      <c r="G42" s="16" t="n"/>
      <c r="H42" s="17">
        <f>IF(A42="","",E42+SUMIF(Movimentações!$C$5:$C$504,A42,Movimentações!$E$5:$E$504)-SUMIF(Movimentações!$C$5:$C$504,A42,Movimentações!$F$5:$F$504))</f>
        <v/>
      </c>
      <c r="I42" s="18">
        <f>IF(A42="","",H42*G42)</f>
        <v/>
      </c>
      <c r="J42" s="16" t="n"/>
      <c r="K42" s="19">
        <f>IFERROR((J42-G42)/J42,0)</f>
        <v/>
      </c>
      <c r="L42" s="17">
        <f>IF(A42="","",IF(H42&lt;=F42,"BAIXO","OK"))</f>
        <v/>
      </c>
      <c r="M42" s="15" t="n"/>
    </row>
    <row r="43">
      <c r="A43" s="15" t="n"/>
      <c r="B43" s="15" t="n"/>
      <c r="C43" s="15" t="n"/>
      <c r="D43" s="15" t="n"/>
      <c r="E43" s="15" t="n"/>
      <c r="F43" s="15" t="n"/>
      <c r="G43" s="16" t="n"/>
      <c r="H43" s="17">
        <f>IF(A43="","",E43+SUMIF(Movimentações!$C$5:$C$504,A43,Movimentações!$E$5:$E$504)-SUMIF(Movimentações!$C$5:$C$504,A43,Movimentações!$F$5:$F$504))</f>
        <v/>
      </c>
      <c r="I43" s="18">
        <f>IF(A43="","",H43*G43)</f>
        <v/>
      </c>
      <c r="J43" s="16" t="n"/>
      <c r="K43" s="19">
        <f>IFERROR((J43-G43)/J43,0)</f>
        <v/>
      </c>
      <c r="L43" s="17">
        <f>IF(A43="","",IF(H43&lt;=F43,"BAIXO","OK"))</f>
        <v/>
      </c>
      <c r="M43" s="15" t="n"/>
    </row>
    <row r="44">
      <c r="A44" s="15" t="n"/>
      <c r="B44" s="15" t="n"/>
      <c r="C44" s="15" t="n"/>
      <c r="D44" s="15" t="n"/>
      <c r="E44" s="15" t="n"/>
      <c r="F44" s="15" t="n"/>
      <c r="G44" s="16" t="n"/>
      <c r="H44" s="17">
        <f>IF(A44="","",E44+SUMIF(Movimentações!$C$5:$C$504,A44,Movimentações!$E$5:$E$504)-SUMIF(Movimentações!$C$5:$C$504,A44,Movimentações!$F$5:$F$504))</f>
        <v/>
      </c>
      <c r="I44" s="18">
        <f>IF(A44="","",H44*G44)</f>
        <v/>
      </c>
      <c r="J44" s="16" t="n"/>
      <c r="K44" s="19">
        <f>IFERROR((J44-G44)/J44,0)</f>
        <v/>
      </c>
      <c r="L44" s="17">
        <f>IF(A44="","",IF(H44&lt;=F44,"BAIXO","OK"))</f>
        <v/>
      </c>
      <c r="M44" s="15" t="n"/>
    </row>
    <row r="45">
      <c r="A45" s="15" t="n"/>
      <c r="B45" s="15" t="n"/>
      <c r="C45" s="15" t="n"/>
      <c r="D45" s="15" t="n"/>
      <c r="E45" s="15" t="n"/>
      <c r="F45" s="15" t="n"/>
      <c r="G45" s="16" t="n"/>
      <c r="H45" s="17">
        <f>IF(A45="","",E45+SUMIF(Movimentações!$C$5:$C$504,A45,Movimentações!$E$5:$E$504)-SUMIF(Movimentações!$C$5:$C$504,A45,Movimentações!$F$5:$F$504))</f>
        <v/>
      </c>
      <c r="I45" s="18">
        <f>IF(A45="","",H45*G45)</f>
        <v/>
      </c>
      <c r="J45" s="16" t="n"/>
      <c r="K45" s="19">
        <f>IFERROR((J45-G45)/J45,0)</f>
        <v/>
      </c>
      <c r="L45" s="17">
        <f>IF(A45="","",IF(H45&lt;=F45,"BAIXO","OK"))</f>
        <v/>
      </c>
      <c r="M45" s="15" t="n"/>
    </row>
    <row r="46">
      <c r="A46" s="15" t="n"/>
      <c r="B46" s="15" t="n"/>
      <c r="C46" s="15" t="n"/>
      <c r="D46" s="15" t="n"/>
      <c r="E46" s="15" t="n"/>
      <c r="F46" s="15" t="n"/>
      <c r="G46" s="16" t="n"/>
      <c r="H46" s="17">
        <f>IF(A46="","",E46+SUMIF(Movimentações!$C$5:$C$504,A46,Movimentações!$E$5:$E$504)-SUMIF(Movimentações!$C$5:$C$504,A46,Movimentações!$F$5:$F$504))</f>
        <v/>
      </c>
      <c r="I46" s="18">
        <f>IF(A46="","",H46*G46)</f>
        <v/>
      </c>
      <c r="J46" s="16" t="n"/>
      <c r="K46" s="19">
        <f>IFERROR((J46-G46)/J46,0)</f>
        <v/>
      </c>
      <c r="L46" s="17">
        <f>IF(A46="","",IF(H46&lt;=F46,"BAIXO","OK"))</f>
        <v/>
      </c>
      <c r="M46" s="15" t="n"/>
    </row>
    <row r="47">
      <c r="A47" s="15" t="n"/>
      <c r="B47" s="15" t="n"/>
      <c r="C47" s="15" t="n"/>
      <c r="D47" s="15" t="n"/>
      <c r="E47" s="15" t="n"/>
      <c r="F47" s="15" t="n"/>
      <c r="G47" s="16" t="n"/>
      <c r="H47" s="17">
        <f>IF(A47="","",E47+SUMIF(Movimentações!$C$5:$C$504,A47,Movimentações!$E$5:$E$504)-SUMIF(Movimentações!$C$5:$C$504,A47,Movimentações!$F$5:$F$504))</f>
        <v/>
      </c>
      <c r="I47" s="18">
        <f>IF(A47="","",H47*G47)</f>
        <v/>
      </c>
      <c r="J47" s="16" t="n"/>
      <c r="K47" s="19">
        <f>IFERROR((J47-G47)/J47,0)</f>
        <v/>
      </c>
      <c r="L47" s="17">
        <f>IF(A47="","",IF(H47&lt;=F47,"BAIXO","OK"))</f>
        <v/>
      </c>
      <c r="M47" s="15" t="n"/>
    </row>
    <row r="48">
      <c r="A48" s="15" t="n"/>
      <c r="B48" s="15" t="n"/>
      <c r="C48" s="15" t="n"/>
      <c r="D48" s="15" t="n"/>
      <c r="E48" s="15" t="n"/>
      <c r="F48" s="15" t="n"/>
      <c r="G48" s="16" t="n"/>
      <c r="H48" s="17">
        <f>IF(A48="","",E48+SUMIF(Movimentações!$C$5:$C$504,A48,Movimentações!$E$5:$E$504)-SUMIF(Movimentações!$C$5:$C$504,A48,Movimentações!$F$5:$F$504))</f>
        <v/>
      </c>
      <c r="I48" s="18">
        <f>IF(A48="","",H48*G48)</f>
        <v/>
      </c>
      <c r="J48" s="16" t="n"/>
      <c r="K48" s="19">
        <f>IFERROR((J48-G48)/J48,0)</f>
        <v/>
      </c>
      <c r="L48" s="17">
        <f>IF(A48="","",IF(H48&lt;=F48,"BAIXO","OK"))</f>
        <v/>
      </c>
      <c r="M48" s="15" t="n"/>
    </row>
    <row r="49">
      <c r="A49" s="15" t="n"/>
      <c r="B49" s="15" t="n"/>
      <c r="C49" s="15" t="n"/>
      <c r="D49" s="15" t="n"/>
      <c r="E49" s="15" t="n"/>
      <c r="F49" s="15" t="n"/>
      <c r="G49" s="16" t="n"/>
      <c r="H49" s="17">
        <f>IF(A49="","",E49+SUMIF(Movimentações!$C$5:$C$504,A49,Movimentações!$E$5:$E$504)-SUMIF(Movimentações!$C$5:$C$504,A49,Movimentações!$F$5:$F$504))</f>
        <v/>
      </c>
      <c r="I49" s="18">
        <f>IF(A49="","",H49*G49)</f>
        <v/>
      </c>
      <c r="J49" s="16" t="n"/>
      <c r="K49" s="19">
        <f>IFERROR((J49-G49)/J49,0)</f>
        <v/>
      </c>
      <c r="L49" s="17">
        <f>IF(A49="","",IF(H49&lt;=F49,"BAIXO","OK"))</f>
        <v/>
      </c>
      <c r="M49" s="15" t="n"/>
    </row>
    <row r="50">
      <c r="A50" s="15" t="n"/>
      <c r="B50" s="15" t="n"/>
      <c r="C50" s="15" t="n"/>
      <c r="D50" s="15" t="n"/>
      <c r="E50" s="15" t="n"/>
      <c r="F50" s="15" t="n"/>
      <c r="G50" s="16" t="n"/>
      <c r="H50" s="17">
        <f>IF(A50="","",E50+SUMIF(Movimentações!$C$5:$C$504,A50,Movimentações!$E$5:$E$504)-SUMIF(Movimentações!$C$5:$C$504,A50,Movimentações!$F$5:$F$504))</f>
        <v/>
      </c>
      <c r="I50" s="18">
        <f>IF(A50="","",H50*G50)</f>
        <v/>
      </c>
      <c r="J50" s="16" t="n"/>
      <c r="K50" s="19">
        <f>IFERROR((J50-G50)/J50,0)</f>
        <v/>
      </c>
      <c r="L50" s="17">
        <f>IF(A50="","",IF(H50&lt;=F50,"BAIXO","OK"))</f>
        <v/>
      </c>
      <c r="M50" s="15" t="n"/>
    </row>
    <row r="51">
      <c r="A51" s="15" t="n"/>
      <c r="B51" s="15" t="n"/>
      <c r="C51" s="15" t="n"/>
      <c r="D51" s="15" t="n"/>
      <c r="E51" s="15" t="n"/>
      <c r="F51" s="15" t="n"/>
      <c r="G51" s="16" t="n"/>
      <c r="H51" s="17">
        <f>IF(A51="","",E51+SUMIF(Movimentações!$C$5:$C$504,A51,Movimentações!$E$5:$E$504)-SUMIF(Movimentações!$C$5:$C$504,A51,Movimentações!$F$5:$F$504))</f>
        <v/>
      </c>
      <c r="I51" s="18">
        <f>IF(A51="","",H51*G51)</f>
        <v/>
      </c>
      <c r="J51" s="16" t="n"/>
      <c r="K51" s="19">
        <f>IFERROR((J51-G51)/J51,0)</f>
        <v/>
      </c>
      <c r="L51" s="17">
        <f>IF(A51="","",IF(H51&lt;=F51,"BAIXO","OK"))</f>
        <v/>
      </c>
      <c r="M51" s="15" t="n"/>
    </row>
    <row r="52">
      <c r="A52" s="15" t="n"/>
      <c r="B52" s="15" t="n"/>
      <c r="C52" s="15" t="n"/>
      <c r="D52" s="15" t="n"/>
      <c r="E52" s="15" t="n"/>
      <c r="F52" s="15" t="n"/>
      <c r="G52" s="16" t="n"/>
      <c r="H52" s="17">
        <f>IF(A52="","",E52+SUMIF(Movimentações!$C$5:$C$504,A52,Movimentações!$E$5:$E$504)-SUMIF(Movimentações!$C$5:$C$504,A52,Movimentações!$F$5:$F$504))</f>
        <v/>
      </c>
      <c r="I52" s="18">
        <f>IF(A52="","",H52*G52)</f>
        <v/>
      </c>
      <c r="J52" s="16" t="n"/>
      <c r="K52" s="19">
        <f>IFERROR((J52-G52)/J52,0)</f>
        <v/>
      </c>
      <c r="L52" s="17">
        <f>IF(A52="","",IF(H52&lt;=F52,"BAIXO","OK"))</f>
        <v/>
      </c>
      <c r="M52" s="15" t="n"/>
    </row>
    <row r="53">
      <c r="A53" s="15" t="n"/>
      <c r="B53" s="15" t="n"/>
      <c r="C53" s="15" t="n"/>
      <c r="D53" s="15" t="n"/>
      <c r="E53" s="15" t="n"/>
      <c r="F53" s="15" t="n"/>
      <c r="G53" s="16" t="n"/>
      <c r="H53" s="17">
        <f>IF(A53="","",E53+SUMIF(Movimentações!$C$5:$C$504,A53,Movimentações!$E$5:$E$504)-SUMIF(Movimentações!$C$5:$C$504,A53,Movimentações!$F$5:$F$504))</f>
        <v/>
      </c>
      <c r="I53" s="18">
        <f>IF(A53="","",H53*G53)</f>
        <v/>
      </c>
      <c r="J53" s="16" t="n"/>
      <c r="K53" s="19">
        <f>IFERROR((J53-G53)/J53,0)</f>
        <v/>
      </c>
      <c r="L53" s="17">
        <f>IF(A53="","",IF(H53&lt;=F53,"BAIXO","OK"))</f>
        <v/>
      </c>
      <c r="M53" s="15" t="n"/>
    </row>
    <row r="54">
      <c r="A54" s="15" t="n"/>
      <c r="B54" s="15" t="n"/>
      <c r="C54" s="15" t="n"/>
      <c r="D54" s="15" t="n"/>
      <c r="E54" s="15" t="n"/>
      <c r="F54" s="15" t="n"/>
      <c r="G54" s="16" t="n"/>
      <c r="H54" s="17">
        <f>IF(A54="","",E54+SUMIF(Movimentações!$C$5:$C$504,A54,Movimentações!$E$5:$E$504)-SUMIF(Movimentações!$C$5:$C$504,A54,Movimentações!$F$5:$F$504))</f>
        <v/>
      </c>
      <c r="I54" s="18">
        <f>IF(A54="","",H54*G54)</f>
        <v/>
      </c>
      <c r="J54" s="16" t="n"/>
      <c r="K54" s="19">
        <f>IFERROR((J54-G54)/J54,0)</f>
        <v/>
      </c>
      <c r="L54" s="17">
        <f>IF(A54="","",IF(H54&lt;=F54,"BAIXO","OK"))</f>
        <v/>
      </c>
      <c r="M54" s="15" t="n"/>
    </row>
    <row r="55">
      <c r="A55" s="15" t="n"/>
      <c r="B55" s="15" t="n"/>
      <c r="C55" s="15" t="n"/>
      <c r="D55" s="15" t="n"/>
      <c r="E55" s="15" t="n"/>
      <c r="F55" s="15" t="n"/>
      <c r="G55" s="16" t="n"/>
      <c r="H55" s="17">
        <f>IF(A55="","",E55+SUMIF(Movimentações!$C$5:$C$504,A55,Movimentações!$E$5:$E$504)-SUMIF(Movimentações!$C$5:$C$504,A55,Movimentações!$F$5:$F$504))</f>
        <v/>
      </c>
      <c r="I55" s="18">
        <f>IF(A55="","",H55*G55)</f>
        <v/>
      </c>
      <c r="J55" s="16" t="n"/>
      <c r="K55" s="19">
        <f>IFERROR((J55-G55)/J55,0)</f>
        <v/>
      </c>
      <c r="L55" s="17">
        <f>IF(A55="","",IF(H55&lt;=F55,"BAIXO","OK"))</f>
        <v/>
      </c>
      <c r="M55" s="15" t="n"/>
    </row>
    <row r="56">
      <c r="A56" s="15" t="n"/>
      <c r="B56" s="15" t="n"/>
      <c r="C56" s="15" t="n"/>
      <c r="D56" s="15" t="n"/>
      <c r="E56" s="15" t="n"/>
      <c r="F56" s="15" t="n"/>
      <c r="G56" s="16" t="n"/>
      <c r="H56" s="17">
        <f>IF(A56="","",E56+SUMIF(Movimentações!$C$5:$C$504,A56,Movimentações!$E$5:$E$504)-SUMIF(Movimentações!$C$5:$C$504,A56,Movimentações!$F$5:$F$504))</f>
        <v/>
      </c>
      <c r="I56" s="18">
        <f>IF(A56="","",H56*G56)</f>
        <v/>
      </c>
      <c r="J56" s="16" t="n"/>
      <c r="K56" s="19">
        <f>IFERROR((J56-G56)/J56,0)</f>
        <v/>
      </c>
      <c r="L56" s="17">
        <f>IF(A56="","",IF(H56&lt;=F56,"BAIXO","OK"))</f>
        <v/>
      </c>
      <c r="M56" s="15" t="n"/>
    </row>
    <row r="57">
      <c r="A57" s="15" t="n"/>
      <c r="B57" s="15" t="n"/>
      <c r="C57" s="15" t="n"/>
      <c r="D57" s="15" t="n"/>
      <c r="E57" s="15" t="n"/>
      <c r="F57" s="15" t="n"/>
      <c r="G57" s="16" t="n"/>
      <c r="H57" s="17">
        <f>IF(A57="","",E57+SUMIF(Movimentações!$C$5:$C$504,A57,Movimentações!$E$5:$E$504)-SUMIF(Movimentações!$C$5:$C$504,A57,Movimentações!$F$5:$F$504))</f>
        <v/>
      </c>
      <c r="I57" s="18">
        <f>IF(A57="","",H57*G57)</f>
        <v/>
      </c>
      <c r="J57" s="16" t="n"/>
      <c r="K57" s="19">
        <f>IFERROR((J57-G57)/J57,0)</f>
        <v/>
      </c>
      <c r="L57" s="17">
        <f>IF(A57="","",IF(H57&lt;=F57,"BAIXO","OK"))</f>
        <v/>
      </c>
      <c r="M57" s="15" t="n"/>
    </row>
    <row r="58">
      <c r="A58" s="15" t="n"/>
      <c r="B58" s="15" t="n"/>
      <c r="C58" s="15" t="n"/>
      <c r="D58" s="15" t="n"/>
      <c r="E58" s="15" t="n"/>
      <c r="F58" s="15" t="n"/>
      <c r="G58" s="16" t="n"/>
      <c r="H58" s="17">
        <f>IF(A58="","",E58+SUMIF(Movimentações!$C$5:$C$504,A58,Movimentações!$E$5:$E$504)-SUMIF(Movimentações!$C$5:$C$504,A58,Movimentações!$F$5:$F$504))</f>
        <v/>
      </c>
      <c r="I58" s="18">
        <f>IF(A58="","",H58*G58)</f>
        <v/>
      </c>
      <c r="J58" s="16" t="n"/>
      <c r="K58" s="19">
        <f>IFERROR((J58-G58)/J58,0)</f>
        <v/>
      </c>
      <c r="L58" s="17">
        <f>IF(A58="","",IF(H58&lt;=F58,"BAIXO","OK"))</f>
        <v/>
      </c>
      <c r="M58" s="15" t="n"/>
    </row>
    <row r="59">
      <c r="A59" s="15" t="n"/>
      <c r="B59" s="15" t="n"/>
      <c r="C59" s="15" t="n"/>
      <c r="D59" s="15" t="n"/>
      <c r="E59" s="15" t="n"/>
      <c r="F59" s="15" t="n"/>
      <c r="G59" s="16" t="n"/>
      <c r="H59" s="17">
        <f>IF(A59="","",E59+SUMIF(Movimentações!$C$5:$C$504,A59,Movimentações!$E$5:$E$504)-SUMIF(Movimentações!$C$5:$C$504,A59,Movimentações!$F$5:$F$504))</f>
        <v/>
      </c>
      <c r="I59" s="18">
        <f>IF(A59="","",H59*G59)</f>
        <v/>
      </c>
      <c r="J59" s="16" t="n"/>
      <c r="K59" s="19">
        <f>IFERROR((J59-G59)/J59,0)</f>
        <v/>
      </c>
      <c r="L59" s="17">
        <f>IF(A59="","",IF(H59&lt;=F59,"BAIXO","OK"))</f>
        <v/>
      </c>
      <c r="M59" s="15" t="n"/>
    </row>
    <row r="60">
      <c r="A60" s="15" t="n"/>
      <c r="B60" s="15" t="n"/>
      <c r="C60" s="15" t="n"/>
      <c r="D60" s="15" t="n"/>
      <c r="E60" s="15" t="n"/>
      <c r="F60" s="15" t="n"/>
      <c r="G60" s="16" t="n"/>
      <c r="H60" s="17">
        <f>IF(A60="","",E60+SUMIF(Movimentações!$C$5:$C$504,A60,Movimentações!$E$5:$E$504)-SUMIF(Movimentações!$C$5:$C$504,A60,Movimentações!$F$5:$F$504))</f>
        <v/>
      </c>
      <c r="I60" s="18">
        <f>IF(A60="","",H60*G60)</f>
        <v/>
      </c>
      <c r="J60" s="16" t="n"/>
      <c r="K60" s="19">
        <f>IFERROR((J60-G60)/J60,0)</f>
        <v/>
      </c>
      <c r="L60" s="17">
        <f>IF(A60="","",IF(H60&lt;=F60,"BAIXO","OK"))</f>
        <v/>
      </c>
      <c r="M60" s="15" t="n"/>
    </row>
    <row r="61">
      <c r="A61" s="15" t="n"/>
      <c r="B61" s="15" t="n"/>
      <c r="C61" s="15" t="n"/>
      <c r="D61" s="15" t="n"/>
      <c r="E61" s="15" t="n"/>
      <c r="F61" s="15" t="n"/>
      <c r="G61" s="16" t="n"/>
      <c r="H61" s="17">
        <f>IF(A61="","",E61+SUMIF(Movimentações!$C$5:$C$504,A61,Movimentações!$E$5:$E$504)-SUMIF(Movimentações!$C$5:$C$504,A61,Movimentações!$F$5:$F$504))</f>
        <v/>
      </c>
      <c r="I61" s="18">
        <f>IF(A61="","",H61*G61)</f>
        <v/>
      </c>
      <c r="J61" s="16" t="n"/>
      <c r="K61" s="19">
        <f>IFERROR((J61-G61)/J61,0)</f>
        <v/>
      </c>
      <c r="L61" s="17">
        <f>IF(A61="","",IF(H61&lt;=F61,"BAIXO","OK"))</f>
        <v/>
      </c>
      <c r="M61" s="15" t="n"/>
    </row>
    <row r="62">
      <c r="A62" s="15" t="n"/>
      <c r="B62" s="15" t="n"/>
      <c r="C62" s="15" t="n"/>
      <c r="D62" s="15" t="n"/>
      <c r="E62" s="15" t="n"/>
      <c r="F62" s="15" t="n"/>
      <c r="G62" s="16" t="n"/>
      <c r="H62" s="17">
        <f>IF(A62="","",E62+SUMIF(Movimentações!$C$5:$C$504,A62,Movimentações!$E$5:$E$504)-SUMIF(Movimentações!$C$5:$C$504,A62,Movimentações!$F$5:$F$504))</f>
        <v/>
      </c>
      <c r="I62" s="18">
        <f>IF(A62="","",H62*G62)</f>
        <v/>
      </c>
      <c r="J62" s="16" t="n"/>
      <c r="K62" s="19">
        <f>IFERROR((J62-G62)/J62,0)</f>
        <v/>
      </c>
      <c r="L62" s="17">
        <f>IF(A62="","",IF(H62&lt;=F62,"BAIXO","OK"))</f>
        <v/>
      </c>
      <c r="M62" s="15" t="n"/>
    </row>
    <row r="63">
      <c r="A63" s="15" t="n"/>
      <c r="B63" s="15" t="n"/>
      <c r="C63" s="15" t="n"/>
      <c r="D63" s="15" t="n"/>
      <c r="E63" s="15" t="n"/>
      <c r="F63" s="15" t="n"/>
      <c r="G63" s="16" t="n"/>
      <c r="H63" s="17">
        <f>IF(A63="","",E63+SUMIF(Movimentações!$C$5:$C$504,A63,Movimentações!$E$5:$E$504)-SUMIF(Movimentações!$C$5:$C$504,A63,Movimentações!$F$5:$F$504))</f>
        <v/>
      </c>
      <c r="I63" s="18">
        <f>IF(A63="","",H63*G63)</f>
        <v/>
      </c>
      <c r="J63" s="16" t="n"/>
      <c r="K63" s="19">
        <f>IFERROR((J63-G63)/J63,0)</f>
        <v/>
      </c>
      <c r="L63" s="17">
        <f>IF(A63="","",IF(H63&lt;=F63,"BAIXO","OK"))</f>
        <v/>
      </c>
      <c r="M63" s="15" t="n"/>
    </row>
    <row r="64">
      <c r="A64" s="15" t="n"/>
      <c r="B64" s="15" t="n"/>
      <c r="C64" s="15" t="n"/>
      <c r="D64" s="15" t="n"/>
      <c r="E64" s="15" t="n"/>
      <c r="F64" s="15" t="n"/>
      <c r="G64" s="16" t="n"/>
      <c r="H64" s="17">
        <f>IF(A64="","",E64+SUMIF(Movimentações!$C$5:$C$504,A64,Movimentações!$E$5:$E$504)-SUMIF(Movimentações!$C$5:$C$504,A64,Movimentações!$F$5:$F$504))</f>
        <v/>
      </c>
      <c r="I64" s="18">
        <f>IF(A64="","",H64*G64)</f>
        <v/>
      </c>
      <c r="J64" s="16" t="n"/>
      <c r="K64" s="19">
        <f>IFERROR((J64-G64)/J64,0)</f>
        <v/>
      </c>
      <c r="L64" s="17">
        <f>IF(A64="","",IF(H64&lt;=F64,"BAIXO","OK"))</f>
        <v/>
      </c>
      <c r="M64" s="15" t="n"/>
    </row>
    <row r="65">
      <c r="A65" s="15" t="n"/>
      <c r="B65" s="15" t="n"/>
      <c r="C65" s="15" t="n"/>
      <c r="D65" s="15" t="n"/>
      <c r="E65" s="15" t="n"/>
      <c r="F65" s="15" t="n"/>
      <c r="G65" s="16" t="n"/>
      <c r="H65" s="17">
        <f>IF(A65="","",E65+SUMIF(Movimentações!$C$5:$C$504,A65,Movimentações!$E$5:$E$504)-SUMIF(Movimentações!$C$5:$C$504,A65,Movimentações!$F$5:$F$504))</f>
        <v/>
      </c>
      <c r="I65" s="18">
        <f>IF(A65="","",H65*G65)</f>
        <v/>
      </c>
      <c r="J65" s="16" t="n"/>
      <c r="K65" s="19">
        <f>IFERROR((J65-G65)/J65,0)</f>
        <v/>
      </c>
      <c r="L65" s="17">
        <f>IF(A65="","",IF(H65&lt;=F65,"BAIXO","OK"))</f>
        <v/>
      </c>
      <c r="M65" s="15" t="n"/>
    </row>
    <row r="66">
      <c r="A66" s="15" t="n"/>
      <c r="B66" s="15" t="n"/>
      <c r="C66" s="15" t="n"/>
      <c r="D66" s="15" t="n"/>
      <c r="E66" s="15" t="n"/>
      <c r="F66" s="15" t="n"/>
      <c r="G66" s="16" t="n"/>
      <c r="H66" s="17">
        <f>IF(A66="","",E66+SUMIF(Movimentações!$C$5:$C$504,A66,Movimentações!$E$5:$E$504)-SUMIF(Movimentações!$C$5:$C$504,A66,Movimentações!$F$5:$F$504))</f>
        <v/>
      </c>
      <c r="I66" s="18">
        <f>IF(A66="","",H66*G66)</f>
        <v/>
      </c>
      <c r="J66" s="16" t="n"/>
      <c r="K66" s="19">
        <f>IFERROR((J66-G66)/J66,0)</f>
        <v/>
      </c>
      <c r="L66" s="17">
        <f>IF(A66="","",IF(H66&lt;=F66,"BAIXO","OK"))</f>
        <v/>
      </c>
      <c r="M66" s="15" t="n"/>
    </row>
    <row r="67">
      <c r="A67" s="15" t="n"/>
      <c r="B67" s="15" t="n"/>
      <c r="C67" s="15" t="n"/>
      <c r="D67" s="15" t="n"/>
      <c r="E67" s="15" t="n"/>
      <c r="F67" s="15" t="n"/>
      <c r="G67" s="16" t="n"/>
      <c r="H67" s="17">
        <f>IF(A67="","",E67+SUMIF(Movimentações!$C$5:$C$504,A67,Movimentações!$E$5:$E$504)-SUMIF(Movimentações!$C$5:$C$504,A67,Movimentações!$F$5:$F$504))</f>
        <v/>
      </c>
      <c r="I67" s="18">
        <f>IF(A67="","",H67*G67)</f>
        <v/>
      </c>
      <c r="J67" s="16" t="n"/>
      <c r="K67" s="19">
        <f>IFERROR((J67-G67)/J67,0)</f>
        <v/>
      </c>
      <c r="L67" s="17">
        <f>IF(A67="","",IF(H67&lt;=F67,"BAIXO","OK"))</f>
        <v/>
      </c>
      <c r="M67" s="15" t="n"/>
    </row>
    <row r="68">
      <c r="A68" s="15" t="n"/>
      <c r="B68" s="15" t="n"/>
      <c r="C68" s="15" t="n"/>
      <c r="D68" s="15" t="n"/>
      <c r="E68" s="15" t="n"/>
      <c r="F68" s="15" t="n"/>
      <c r="G68" s="16" t="n"/>
      <c r="H68" s="17">
        <f>IF(A68="","",E68+SUMIF(Movimentações!$C$5:$C$504,A68,Movimentações!$E$5:$E$504)-SUMIF(Movimentações!$C$5:$C$504,A68,Movimentações!$F$5:$F$504))</f>
        <v/>
      </c>
      <c r="I68" s="18">
        <f>IF(A68="","",H68*G68)</f>
        <v/>
      </c>
      <c r="J68" s="16" t="n"/>
      <c r="K68" s="19">
        <f>IFERROR((J68-G68)/J68,0)</f>
        <v/>
      </c>
      <c r="L68" s="17">
        <f>IF(A68="","",IF(H68&lt;=F68,"BAIXO","OK"))</f>
        <v/>
      </c>
      <c r="M68" s="15" t="n"/>
    </row>
    <row r="69">
      <c r="A69" s="15" t="n"/>
      <c r="B69" s="15" t="n"/>
      <c r="C69" s="15" t="n"/>
      <c r="D69" s="15" t="n"/>
      <c r="E69" s="15" t="n"/>
      <c r="F69" s="15" t="n"/>
      <c r="G69" s="16" t="n"/>
      <c r="H69" s="17">
        <f>IF(A69="","",E69+SUMIF(Movimentações!$C$5:$C$504,A69,Movimentações!$E$5:$E$504)-SUMIF(Movimentações!$C$5:$C$504,A69,Movimentações!$F$5:$F$504))</f>
        <v/>
      </c>
      <c r="I69" s="18">
        <f>IF(A69="","",H69*G69)</f>
        <v/>
      </c>
      <c r="J69" s="16" t="n"/>
      <c r="K69" s="19">
        <f>IFERROR((J69-G69)/J69,0)</f>
        <v/>
      </c>
      <c r="L69" s="17">
        <f>IF(A69="","",IF(H69&lt;=F69,"BAIXO","OK"))</f>
        <v/>
      </c>
      <c r="M69" s="15" t="n"/>
    </row>
    <row r="70">
      <c r="A70" s="15" t="n"/>
      <c r="B70" s="15" t="n"/>
      <c r="C70" s="15" t="n"/>
      <c r="D70" s="15" t="n"/>
      <c r="E70" s="15" t="n"/>
      <c r="F70" s="15" t="n"/>
      <c r="G70" s="16" t="n"/>
      <c r="H70" s="17">
        <f>IF(A70="","",E70+SUMIF(Movimentações!$C$5:$C$504,A70,Movimentações!$E$5:$E$504)-SUMIF(Movimentações!$C$5:$C$504,A70,Movimentações!$F$5:$F$504))</f>
        <v/>
      </c>
      <c r="I70" s="18">
        <f>IF(A70="","",H70*G70)</f>
        <v/>
      </c>
      <c r="J70" s="16" t="n"/>
      <c r="K70" s="19">
        <f>IFERROR((J70-G70)/J70,0)</f>
        <v/>
      </c>
      <c r="L70" s="17">
        <f>IF(A70="","",IF(H70&lt;=F70,"BAIXO","OK"))</f>
        <v/>
      </c>
      <c r="M70" s="15" t="n"/>
    </row>
    <row r="71">
      <c r="A71" s="15" t="n"/>
      <c r="B71" s="15" t="n"/>
      <c r="C71" s="15" t="n"/>
      <c r="D71" s="15" t="n"/>
      <c r="E71" s="15" t="n"/>
      <c r="F71" s="15" t="n"/>
      <c r="G71" s="16" t="n"/>
      <c r="H71" s="17">
        <f>IF(A71="","",E71+SUMIF(Movimentações!$C$5:$C$504,A71,Movimentações!$E$5:$E$504)-SUMIF(Movimentações!$C$5:$C$504,A71,Movimentações!$F$5:$F$504))</f>
        <v/>
      </c>
      <c r="I71" s="18">
        <f>IF(A71="","",H71*G71)</f>
        <v/>
      </c>
      <c r="J71" s="16" t="n"/>
      <c r="K71" s="19">
        <f>IFERROR((J71-G71)/J71,0)</f>
        <v/>
      </c>
      <c r="L71" s="17">
        <f>IF(A71="","",IF(H71&lt;=F71,"BAIXO","OK"))</f>
        <v/>
      </c>
      <c r="M71" s="15" t="n"/>
    </row>
    <row r="72">
      <c r="A72" s="15" t="n"/>
      <c r="B72" s="15" t="n"/>
      <c r="C72" s="15" t="n"/>
      <c r="D72" s="15" t="n"/>
      <c r="E72" s="15" t="n"/>
      <c r="F72" s="15" t="n"/>
      <c r="G72" s="16" t="n"/>
      <c r="H72" s="17">
        <f>IF(A72="","",E72+SUMIF(Movimentações!$C$5:$C$504,A72,Movimentações!$E$5:$E$504)-SUMIF(Movimentações!$C$5:$C$504,A72,Movimentações!$F$5:$F$504))</f>
        <v/>
      </c>
      <c r="I72" s="18">
        <f>IF(A72="","",H72*G72)</f>
        <v/>
      </c>
      <c r="J72" s="16" t="n"/>
      <c r="K72" s="19">
        <f>IFERROR((J72-G72)/J72,0)</f>
        <v/>
      </c>
      <c r="L72" s="17">
        <f>IF(A72="","",IF(H72&lt;=F72,"BAIXO","OK"))</f>
        <v/>
      </c>
      <c r="M72" s="15" t="n"/>
    </row>
    <row r="73">
      <c r="A73" s="15" t="n"/>
      <c r="B73" s="15" t="n"/>
      <c r="C73" s="15" t="n"/>
      <c r="D73" s="15" t="n"/>
      <c r="E73" s="15" t="n"/>
      <c r="F73" s="15" t="n"/>
      <c r="G73" s="16" t="n"/>
      <c r="H73" s="17">
        <f>IF(A73="","",E73+SUMIF(Movimentações!$C$5:$C$504,A73,Movimentações!$E$5:$E$504)-SUMIF(Movimentações!$C$5:$C$504,A73,Movimentações!$F$5:$F$504))</f>
        <v/>
      </c>
      <c r="I73" s="18">
        <f>IF(A73="","",H73*G73)</f>
        <v/>
      </c>
      <c r="J73" s="16" t="n"/>
      <c r="K73" s="19">
        <f>IFERROR((J73-G73)/J73,0)</f>
        <v/>
      </c>
      <c r="L73" s="17">
        <f>IF(A73="","",IF(H73&lt;=F73,"BAIXO","OK"))</f>
        <v/>
      </c>
      <c r="M73" s="15" t="n"/>
    </row>
    <row r="74">
      <c r="A74" s="15" t="n"/>
      <c r="B74" s="15" t="n"/>
      <c r="C74" s="15" t="n"/>
      <c r="D74" s="15" t="n"/>
      <c r="E74" s="15" t="n"/>
      <c r="F74" s="15" t="n"/>
      <c r="G74" s="16" t="n"/>
      <c r="H74" s="17">
        <f>IF(A74="","",E74+SUMIF(Movimentações!$C$5:$C$504,A74,Movimentações!$E$5:$E$504)-SUMIF(Movimentações!$C$5:$C$504,A74,Movimentações!$F$5:$F$504))</f>
        <v/>
      </c>
      <c r="I74" s="18">
        <f>IF(A74="","",H74*G74)</f>
        <v/>
      </c>
      <c r="J74" s="16" t="n"/>
      <c r="K74" s="19">
        <f>IFERROR((J74-G74)/J74,0)</f>
        <v/>
      </c>
      <c r="L74" s="17">
        <f>IF(A74="","",IF(H74&lt;=F74,"BAIXO","OK"))</f>
        <v/>
      </c>
      <c r="M74" s="15" t="n"/>
    </row>
    <row r="75">
      <c r="A75" s="15" t="n"/>
      <c r="B75" s="15" t="n"/>
      <c r="C75" s="15" t="n"/>
      <c r="D75" s="15" t="n"/>
      <c r="E75" s="15" t="n"/>
      <c r="F75" s="15" t="n"/>
      <c r="G75" s="16" t="n"/>
      <c r="H75" s="17">
        <f>IF(A75="","",E75+SUMIF(Movimentações!$C$5:$C$504,A75,Movimentações!$E$5:$E$504)-SUMIF(Movimentações!$C$5:$C$504,A75,Movimentações!$F$5:$F$504))</f>
        <v/>
      </c>
      <c r="I75" s="18">
        <f>IF(A75="","",H75*G75)</f>
        <v/>
      </c>
      <c r="J75" s="16" t="n"/>
      <c r="K75" s="19">
        <f>IFERROR((J75-G75)/J75,0)</f>
        <v/>
      </c>
      <c r="L75" s="17">
        <f>IF(A75="","",IF(H75&lt;=F75,"BAIXO","OK"))</f>
        <v/>
      </c>
      <c r="M75" s="15" t="n"/>
    </row>
    <row r="76">
      <c r="A76" s="15" t="n"/>
      <c r="B76" s="15" t="n"/>
      <c r="C76" s="15" t="n"/>
      <c r="D76" s="15" t="n"/>
      <c r="E76" s="15" t="n"/>
      <c r="F76" s="15" t="n"/>
      <c r="G76" s="16" t="n"/>
      <c r="H76" s="17">
        <f>IF(A76="","",E76+SUMIF(Movimentações!$C$5:$C$504,A76,Movimentações!$E$5:$E$504)-SUMIF(Movimentações!$C$5:$C$504,A76,Movimentações!$F$5:$F$504))</f>
        <v/>
      </c>
      <c r="I76" s="18">
        <f>IF(A76="","",H76*G76)</f>
        <v/>
      </c>
      <c r="J76" s="16" t="n"/>
      <c r="K76" s="19">
        <f>IFERROR((J76-G76)/J76,0)</f>
        <v/>
      </c>
      <c r="L76" s="17">
        <f>IF(A76="","",IF(H76&lt;=F76,"BAIXO","OK"))</f>
        <v/>
      </c>
      <c r="M76" s="15" t="n"/>
    </row>
    <row r="77">
      <c r="A77" s="15" t="n"/>
      <c r="B77" s="15" t="n"/>
      <c r="C77" s="15" t="n"/>
      <c r="D77" s="15" t="n"/>
      <c r="E77" s="15" t="n"/>
      <c r="F77" s="15" t="n"/>
      <c r="G77" s="16" t="n"/>
      <c r="H77" s="17">
        <f>IF(A77="","",E77+SUMIF(Movimentações!$C$5:$C$504,A77,Movimentações!$E$5:$E$504)-SUMIF(Movimentações!$C$5:$C$504,A77,Movimentações!$F$5:$F$504))</f>
        <v/>
      </c>
      <c r="I77" s="18">
        <f>IF(A77="","",H77*G77)</f>
        <v/>
      </c>
      <c r="J77" s="16" t="n"/>
      <c r="K77" s="19">
        <f>IFERROR((J77-G77)/J77,0)</f>
        <v/>
      </c>
      <c r="L77" s="17">
        <f>IF(A77="","",IF(H77&lt;=F77,"BAIXO","OK"))</f>
        <v/>
      </c>
      <c r="M77" s="15" t="n"/>
    </row>
    <row r="78">
      <c r="A78" s="15" t="n"/>
      <c r="B78" s="15" t="n"/>
      <c r="C78" s="15" t="n"/>
      <c r="D78" s="15" t="n"/>
      <c r="E78" s="15" t="n"/>
      <c r="F78" s="15" t="n"/>
      <c r="G78" s="16" t="n"/>
      <c r="H78" s="17">
        <f>IF(A78="","",E78+SUMIF(Movimentações!$C$5:$C$504,A78,Movimentações!$E$5:$E$504)-SUMIF(Movimentações!$C$5:$C$504,A78,Movimentações!$F$5:$F$504))</f>
        <v/>
      </c>
      <c r="I78" s="18">
        <f>IF(A78="","",H78*G78)</f>
        <v/>
      </c>
      <c r="J78" s="16" t="n"/>
      <c r="K78" s="19">
        <f>IFERROR((J78-G78)/J78,0)</f>
        <v/>
      </c>
      <c r="L78" s="17">
        <f>IF(A78="","",IF(H78&lt;=F78,"BAIXO","OK"))</f>
        <v/>
      </c>
      <c r="M78" s="15" t="n"/>
    </row>
    <row r="79">
      <c r="A79" s="15" t="n"/>
      <c r="B79" s="15" t="n"/>
      <c r="C79" s="15" t="n"/>
      <c r="D79" s="15" t="n"/>
      <c r="E79" s="15" t="n"/>
      <c r="F79" s="15" t="n"/>
      <c r="G79" s="16" t="n"/>
      <c r="H79" s="17">
        <f>IF(A79="","",E79+SUMIF(Movimentações!$C$5:$C$504,A79,Movimentações!$E$5:$E$504)-SUMIF(Movimentações!$C$5:$C$504,A79,Movimentações!$F$5:$F$504))</f>
        <v/>
      </c>
      <c r="I79" s="18">
        <f>IF(A79="","",H79*G79)</f>
        <v/>
      </c>
      <c r="J79" s="16" t="n"/>
      <c r="K79" s="19">
        <f>IFERROR((J79-G79)/J79,0)</f>
        <v/>
      </c>
      <c r="L79" s="17">
        <f>IF(A79="","",IF(H79&lt;=F79,"BAIXO","OK"))</f>
        <v/>
      </c>
      <c r="M79" s="15" t="n"/>
    </row>
    <row r="80">
      <c r="A80" s="15" t="n"/>
      <c r="B80" s="15" t="n"/>
      <c r="C80" s="15" t="n"/>
      <c r="D80" s="15" t="n"/>
      <c r="E80" s="15" t="n"/>
      <c r="F80" s="15" t="n"/>
      <c r="G80" s="16" t="n"/>
      <c r="H80" s="17">
        <f>IF(A80="","",E80+SUMIF(Movimentações!$C$5:$C$504,A80,Movimentações!$E$5:$E$504)-SUMIF(Movimentações!$C$5:$C$504,A80,Movimentações!$F$5:$F$504))</f>
        <v/>
      </c>
      <c r="I80" s="18">
        <f>IF(A80="","",H80*G80)</f>
        <v/>
      </c>
      <c r="J80" s="16" t="n"/>
      <c r="K80" s="19">
        <f>IFERROR((J80-G80)/J80,0)</f>
        <v/>
      </c>
      <c r="L80" s="17">
        <f>IF(A80="","",IF(H80&lt;=F80,"BAIXO","OK"))</f>
        <v/>
      </c>
      <c r="M80" s="15" t="n"/>
    </row>
    <row r="81">
      <c r="A81" s="15" t="n"/>
      <c r="B81" s="15" t="n"/>
      <c r="C81" s="15" t="n"/>
      <c r="D81" s="15" t="n"/>
      <c r="E81" s="15" t="n"/>
      <c r="F81" s="15" t="n"/>
      <c r="G81" s="16" t="n"/>
      <c r="H81" s="17">
        <f>IF(A81="","",E81+SUMIF(Movimentações!$C$5:$C$504,A81,Movimentações!$E$5:$E$504)-SUMIF(Movimentações!$C$5:$C$504,A81,Movimentações!$F$5:$F$504))</f>
        <v/>
      </c>
      <c r="I81" s="18">
        <f>IF(A81="","",H81*G81)</f>
        <v/>
      </c>
      <c r="J81" s="16" t="n"/>
      <c r="K81" s="19">
        <f>IFERROR((J81-G81)/J81,0)</f>
        <v/>
      </c>
      <c r="L81" s="17">
        <f>IF(A81="","",IF(H81&lt;=F81,"BAIXO","OK"))</f>
        <v/>
      </c>
      <c r="M81" s="15" t="n"/>
    </row>
    <row r="82">
      <c r="A82" s="15" t="n"/>
      <c r="B82" s="15" t="n"/>
      <c r="C82" s="15" t="n"/>
      <c r="D82" s="15" t="n"/>
      <c r="E82" s="15" t="n"/>
      <c r="F82" s="15" t="n"/>
      <c r="G82" s="16" t="n"/>
      <c r="H82" s="17">
        <f>IF(A82="","",E82+SUMIF(Movimentações!$C$5:$C$504,A82,Movimentações!$E$5:$E$504)-SUMIF(Movimentações!$C$5:$C$504,A82,Movimentações!$F$5:$F$504))</f>
        <v/>
      </c>
      <c r="I82" s="18">
        <f>IF(A82="","",H82*G82)</f>
        <v/>
      </c>
      <c r="J82" s="16" t="n"/>
      <c r="K82" s="19">
        <f>IFERROR((J82-G82)/J82,0)</f>
        <v/>
      </c>
      <c r="L82" s="17">
        <f>IF(A82="","",IF(H82&lt;=F82,"BAIXO","OK"))</f>
        <v/>
      </c>
      <c r="M82" s="15" t="n"/>
    </row>
    <row r="83">
      <c r="A83" s="15" t="n"/>
      <c r="B83" s="15" t="n"/>
      <c r="C83" s="15" t="n"/>
      <c r="D83" s="15" t="n"/>
      <c r="E83" s="15" t="n"/>
      <c r="F83" s="15" t="n"/>
      <c r="G83" s="16" t="n"/>
      <c r="H83" s="17">
        <f>IF(A83="","",E83+SUMIF(Movimentações!$C$5:$C$504,A83,Movimentações!$E$5:$E$504)-SUMIF(Movimentações!$C$5:$C$504,A83,Movimentações!$F$5:$F$504))</f>
        <v/>
      </c>
      <c r="I83" s="18">
        <f>IF(A83="","",H83*G83)</f>
        <v/>
      </c>
      <c r="J83" s="16" t="n"/>
      <c r="K83" s="19">
        <f>IFERROR((J83-G83)/J83,0)</f>
        <v/>
      </c>
      <c r="L83" s="17">
        <f>IF(A83="","",IF(H83&lt;=F83,"BAIXO","OK"))</f>
        <v/>
      </c>
      <c r="M83" s="15" t="n"/>
    </row>
    <row r="84">
      <c r="A84" s="15" t="n"/>
      <c r="B84" s="15" t="n"/>
      <c r="C84" s="15" t="n"/>
      <c r="D84" s="15" t="n"/>
      <c r="E84" s="15" t="n"/>
      <c r="F84" s="15" t="n"/>
      <c r="G84" s="16" t="n"/>
      <c r="H84" s="17">
        <f>IF(A84="","",E84+SUMIF(Movimentações!$C$5:$C$504,A84,Movimentações!$E$5:$E$504)-SUMIF(Movimentações!$C$5:$C$504,A84,Movimentações!$F$5:$F$504))</f>
        <v/>
      </c>
      <c r="I84" s="18">
        <f>IF(A84="","",H84*G84)</f>
        <v/>
      </c>
      <c r="J84" s="16" t="n"/>
      <c r="K84" s="19">
        <f>IFERROR((J84-G84)/J84,0)</f>
        <v/>
      </c>
      <c r="L84" s="17">
        <f>IF(A84="","",IF(H84&lt;=F84,"BAIXO","OK"))</f>
        <v/>
      </c>
      <c r="M84" s="15" t="n"/>
    </row>
    <row r="85">
      <c r="A85" s="15" t="n"/>
      <c r="B85" s="15" t="n"/>
      <c r="C85" s="15" t="n"/>
      <c r="D85" s="15" t="n"/>
      <c r="E85" s="15" t="n"/>
      <c r="F85" s="15" t="n"/>
      <c r="G85" s="16" t="n"/>
      <c r="H85" s="17">
        <f>IF(A85="","",E85+SUMIF(Movimentações!$C$5:$C$504,A85,Movimentações!$E$5:$E$504)-SUMIF(Movimentações!$C$5:$C$504,A85,Movimentações!$F$5:$F$504))</f>
        <v/>
      </c>
      <c r="I85" s="18">
        <f>IF(A85="","",H85*G85)</f>
        <v/>
      </c>
      <c r="J85" s="16" t="n"/>
      <c r="K85" s="19">
        <f>IFERROR((J85-G85)/J85,0)</f>
        <v/>
      </c>
      <c r="L85" s="17">
        <f>IF(A85="","",IF(H85&lt;=F85,"BAIXO","OK"))</f>
        <v/>
      </c>
      <c r="M85" s="15" t="n"/>
    </row>
    <row r="86">
      <c r="A86" s="15" t="n"/>
      <c r="B86" s="15" t="n"/>
      <c r="C86" s="15" t="n"/>
      <c r="D86" s="15" t="n"/>
      <c r="E86" s="15" t="n"/>
      <c r="F86" s="15" t="n"/>
      <c r="G86" s="16" t="n"/>
      <c r="H86" s="17">
        <f>IF(A86="","",E86+SUMIF(Movimentações!$C$5:$C$504,A86,Movimentações!$E$5:$E$504)-SUMIF(Movimentações!$C$5:$C$504,A86,Movimentações!$F$5:$F$504))</f>
        <v/>
      </c>
      <c r="I86" s="18">
        <f>IF(A86="","",H86*G86)</f>
        <v/>
      </c>
      <c r="J86" s="16" t="n"/>
      <c r="K86" s="19">
        <f>IFERROR((J86-G86)/J86,0)</f>
        <v/>
      </c>
      <c r="L86" s="17">
        <f>IF(A86="","",IF(H86&lt;=F86,"BAIXO","OK"))</f>
        <v/>
      </c>
      <c r="M86" s="15" t="n"/>
    </row>
    <row r="87">
      <c r="A87" s="15" t="n"/>
      <c r="B87" s="15" t="n"/>
      <c r="C87" s="15" t="n"/>
      <c r="D87" s="15" t="n"/>
      <c r="E87" s="15" t="n"/>
      <c r="F87" s="15" t="n"/>
      <c r="G87" s="16" t="n"/>
      <c r="H87" s="17">
        <f>IF(A87="","",E87+SUMIF(Movimentações!$C$5:$C$504,A87,Movimentações!$E$5:$E$504)-SUMIF(Movimentações!$C$5:$C$504,A87,Movimentações!$F$5:$F$504))</f>
        <v/>
      </c>
      <c r="I87" s="18">
        <f>IF(A87="","",H87*G87)</f>
        <v/>
      </c>
      <c r="J87" s="16" t="n"/>
      <c r="K87" s="19">
        <f>IFERROR((J87-G87)/J87,0)</f>
        <v/>
      </c>
      <c r="L87" s="17">
        <f>IF(A87="","",IF(H87&lt;=F87,"BAIXO","OK"))</f>
        <v/>
      </c>
      <c r="M87" s="15" t="n"/>
    </row>
    <row r="88">
      <c r="A88" s="15" t="n"/>
      <c r="B88" s="15" t="n"/>
      <c r="C88" s="15" t="n"/>
      <c r="D88" s="15" t="n"/>
      <c r="E88" s="15" t="n"/>
      <c r="F88" s="15" t="n"/>
      <c r="G88" s="16" t="n"/>
      <c r="H88" s="17">
        <f>IF(A88="","",E88+SUMIF(Movimentações!$C$5:$C$504,A88,Movimentações!$E$5:$E$504)-SUMIF(Movimentações!$C$5:$C$504,A88,Movimentações!$F$5:$F$504))</f>
        <v/>
      </c>
      <c r="I88" s="18">
        <f>IF(A88="","",H88*G88)</f>
        <v/>
      </c>
      <c r="J88" s="16" t="n"/>
      <c r="K88" s="19">
        <f>IFERROR((J88-G88)/J88,0)</f>
        <v/>
      </c>
      <c r="L88" s="17">
        <f>IF(A88="","",IF(H88&lt;=F88,"BAIXO","OK"))</f>
        <v/>
      </c>
      <c r="M88" s="15" t="n"/>
    </row>
    <row r="89">
      <c r="A89" s="15" t="n"/>
      <c r="B89" s="15" t="n"/>
      <c r="C89" s="15" t="n"/>
      <c r="D89" s="15" t="n"/>
      <c r="E89" s="15" t="n"/>
      <c r="F89" s="15" t="n"/>
      <c r="G89" s="16" t="n"/>
      <c r="H89" s="17">
        <f>IF(A89="","",E89+SUMIF(Movimentações!$C$5:$C$504,A89,Movimentações!$E$5:$E$504)-SUMIF(Movimentações!$C$5:$C$504,A89,Movimentações!$F$5:$F$504))</f>
        <v/>
      </c>
      <c r="I89" s="18">
        <f>IF(A89="","",H89*G89)</f>
        <v/>
      </c>
      <c r="J89" s="16" t="n"/>
      <c r="K89" s="19">
        <f>IFERROR((J89-G89)/J89,0)</f>
        <v/>
      </c>
      <c r="L89" s="17">
        <f>IF(A89="","",IF(H89&lt;=F89,"BAIXO","OK"))</f>
        <v/>
      </c>
      <c r="M89" s="15" t="n"/>
    </row>
    <row r="90">
      <c r="A90" s="15" t="n"/>
      <c r="B90" s="15" t="n"/>
      <c r="C90" s="15" t="n"/>
      <c r="D90" s="15" t="n"/>
      <c r="E90" s="15" t="n"/>
      <c r="F90" s="15" t="n"/>
      <c r="G90" s="16" t="n"/>
      <c r="H90" s="17">
        <f>IF(A90="","",E90+SUMIF(Movimentações!$C$5:$C$504,A90,Movimentações!$E$5:$E$504)-SUMIF(Movimentações!$C$5:$C$504,A90,Movimentações!$F$5:$F$504))</f>
        <v/>
      </c>
      <c r="I90" s="18">
        <f>IF(A90="","",H90*G90)</f>
        <v/>
      </c>
      <c r="J90" s="16" t="n"/>
      <c r="K90" s="19">
        <f>IFERROR((J90-G90)/J90,0)</f>
        <v/>
      </c>
      <c r="L90" s="17">
        <f>IF(A90="","",IF(H90&lt;=F90,"BAIXO","OK"))</f>
        <v/>
      </c>
      <c r="M90" s="15" t="n"/>
    </row>
    <row r="91">
      <c r="A91" s="15" t="n"/>
      <c r="B91" s="15" t="n"/>
      <c r="C91" s="15" t="n"/>
      <c r="D91" s="15" t="n"/>
      <c r="E91" s="15" t="n"/>
      <c r="F91" s="15" t="n"/>
      <c r="G91" s="16" t="n"/>
      <c r="H91" s="17">
        <f>IF(A91="","",E91+SUMIF(Movimentações!$C$5:$C$504,A91,Movimentações!$E$5:$E$504)-SUMIF(Movimentações!$C$5:$C$504,A91,Movimentações!$F$5:$F$504))</f>
        <v/>
      </c>
      <c r="I91" s="18">
        <f>IF(A91="","",H91*G91)</f>
        <v/>
      </c>
      <c r="J91" s="16" t="n"/>
      <c r="K91" s="19">
        <f>IFERROR((J91-G91)/J91,0)</f>
        <v/>
      </c>
      <c r="L91" s="17">
        <f>IF(A91="","",IF(H91&lt;=F91,"BAIXO","OK"))</f>
        <v/>
      </c>
      <c r="M91" s="15" t="n"/>
    </row>
    <row r="92">
      <c r="A92" s="15" t="n"/>
      <c r="B92" s="15" t="n"/>
      <c r="C92" s="15" t="n"/>
      <c r="D92" s="15" t="n"/>
      <c r="E92" s="15" t="n"/>
      <c r="F92" s="15" t="n"/>
      <c r="G92" s="16" t="n"/>
      <c r="H92" s="17">
        <f>IF(A92="","",E92+SUMIF(Movimentações!$C$5:$C$504,A92,Movimentações!$E$5:$E$504)-SUMIF(Movimentações!$C$5:$C$504,A92,Movimentações!$F$5:$F$504))</f>
        <v/>
      </c>
      <c r="I92" s="18">
        <f>IF(A92="","",H92*G92)</f>
        <v/>
      </c>
      <c r="J92" s="16" t="n"/>
      <c r="K92" s="19">
        <f>IFERROR((J92-G92)/J92,0)</f>
        <v/>
      </c>
      <c r="L92" s="17">
        <f>IF(A92="","",IF(H92&lt;=F92,"BAIXO","OK"))</f>
        <v/>
      </c>
      <c r="M92" s="15" t="n"/>
    </row>
    <row r="93">
      <c r="A93" s="15" t="n"/>
      <c r="B93" s="15" t="n"/>
      <c r="C93" s="15" t="n"/>
      <c r="D93" s="15" t="n"/>
      <c r="E93" s="15" t="n"/>
      <c r="F93" s="15" t="n"/>
      <c r="G93" s="16" t="n"/>
      <c r="H93" s="17">
        <f>IF(A93="","",E93+SUMIF(Movimentações!$C$5:$C$504,A93,Movimentações!$E$5:$E$504)-SUMIF(Movimentações!$C$5:$C$504,A93,Movimentações!$F$5:$F$504))</f>
        <v/>
      </c>
      <c r="I93" s="18">
        <f>IF(A93="","",H93*G93)</f>
        <v/>
      </c>
      <c r="J93" s="16" t="n"/>
      <c r="K93" s="19">
        <f>IFERROR((J93-G93)/J93,0)</f>
        <v/>
      </c>
      <c r="L93" s="17">
        <f>IF(A93="","",IF(H93&lt;=F93,"BAIXO","OK"))</f>
        <v/>
      </c>
      <c r="M93" s="15" t="n"/>
    </row>
    <row r="94">
      <c r="A94" s="15" t="n"/>
      <c r="B94" s="15" t="n"/>
      <c r="C94" s="15" t="n"/>
      <c r="D94" s="15" t="n"/>
      <c r="E94" s="15" t="n"/>
      <c r="F94" s="15" t="n"/>
      <c r="G94" s="16" t="n"/>
      <c r="H94" s="17">
        <f>IF(A94="","",E94+SUMIF(Movimentações!$C$5:$C$504,A94,Movimentações!$E$5:$E$504)-SUMIF(Movimentações!$C$5:$C$504,A94,Movimentações!$F$5:$F$504))</f>
        <v/>
      </c>
      <c r="I94" s="18">
        <f>IF(A94="","",H94*G94)</f>
        <v/>
      </c>
      <c r="J94" s="16" t="n"/>
      <c r="K94" s="19">
        <f>IFERROR((J94-G94)/J94,0)</f>
        <v/>
      </c>
      <c r="L94" s="17">
        <f>IF(A94="","",IF(H94&lt;=F94,"BAIXO","OK"))</f>
        <v/>
      </c>
      <c r="M94" s="15" t="n"/>
    </row>
    <row r="95">
      <c r="A95" s="15" t="n"/>
      <c r="B95" s="15" t="n"/>
      <c r="C95" s="15" t="n"/>
      <c r="D95" s="15" t="n"/>
      <c r="E95" s="15" t="n"/>
      <c r="F95" s="15" t="n"/>
      <c r="G95" s="16" t="n"/>
      <c r="H95" s="17">
        <f>IF(A95="","",E95+SUMIF(Movimentações!$C$5:$C$504,A95,Movimentações!$E$5:$E$504)-SUMIF(Movimentações!$C$5:$C$504,A95,Movimentações!$F$5:$F$504))</f>
        <v/>
      </c>
      <c r="I95" s="18">
        <f>IF(A95="","",H95*G95)</f>
        <v/>
      </c>
      <c r="J95" s="16" t="n"/>
      <c r="K95" s="19">
        <f>IFERROR((J95-G95)/J95,0)</f>
        <v/>
      </c>
      <c r="L95" s="17">
        <f>IF(A95="","",IF(H95&lt;=F95,"BAIXO","OK"))</f>
        <v/>
      </c>
      <c r="M95" s="15" t="n"/>
    </row>
    <row r="96">
      <c r="A96" s="15" t="n"/>
      <c r="B96" s="15" t="n"/>
      <c r="C96" s="15" t="n"/>
      <c r="D96" s="15" t="n"/>
      <c r="E96" s="15" t="n"/>
      <c r="F96" s="15" t="n"/>
      <c r="G96" s="16" t="n"/>
      <c r="H96" s="17">
        <f>IF(A96="","",E96+SUMIF(Movimentações!$C$5:$C$504,A96,Movimentações!$E$5:$E$504)-SUMIF(Movimentações!$C$5:$C$504,A96,Movimentações!$F$5:$F$504))</f>
        <v/>
      </c>
      <c r="I96" s="18">
        <f>IF(A96="","",H96*G96)</f>
        <v/>
      </c>
      <c r="J96" s="16" t="n"/>
      <c r="K96" s="19">
        <f>IFERROR((J96-G96)/J96,0)</f>
        <v/>
      </c>
      <c r="L96" s="17">
        <f>IF(A96="","",IF(H96&lt;=F96,"BAIXO","OK"))</f>
        <v/>
      </c>
      <c r="M96" s="15" t="n"/>
    </row>
    <row r="97">
      <c r="A97" s="15" t="n"/>
      <c r="B97" s="15" t="n"/>
      <c r="C97" s="15" t="n"/>
      <c r="D97" s="15" t="n"/>
      <c r="E97" s="15" t="n"/>
      <c r="F97" s="15" t="n"/>
      <c r="G97" s="16" t="n"/>
      <c r="H97" s="17">
        <f>IF(A97="","",E97+SUMIF(Movimentações!$C$5:$C$504,A97,Movimentações!$E$5:$E$504)-SUMIF(Movimentações!$C$5:$C$504,A97,Movimentações!$F$5:$F$504))</f>
        <v/>
      </c>
      <c r="I97" s="18">
        <f>IF(A97="","",H97*G97)</f>
        <v/>
      </c>
      <c r="J97" s="16" t="n"/>
      <c r="K97" s="19">
        <f>IFERROR((J97-G97)/J97,0)</f>
        <v/>
      </c>
      <c r="L97" s="17">
        <f>IF(A97="","",IF(H97&lt;=F97,"BAIXO","OK"))</f>
        <v/>
      </c>
      <c r="M97" s="15" t="n"/>
    </row>
    <row r="98">
      <c r="A98" s="15" t="n"/>
      <c r="B98" s="15" t="n"/>
      <c r="C98" s="15" t="n"/>
      <c r="D98" s="15" t="n"/>
      <c r="E98" s="15" t="n"/>
      <c r="F98" s="15" t="n"/>
      <c r="G98" s="16" t="n"/>
      <c r="H98" s="17">
        <f>IF(A98="","",E98+SUMIF(Movimentações!$C$5:$C$504,A98,Movimentações!$E$5:$E$504)-SUMIF(Movimentações!$C$5:$C$504,A98,Movimentações!$F$5:$F$504))</f>
        <v/>
      </c>
      <c r="I98" s="18">
        <f>IF(A98="","",H98*G98)</f>
        <v/>
      </c>
      <c r="J98" s="16" t="n"/>
      <c r="K98" s="19">
        <f>IFERROR((J98-G98)/J98,0)</f>
        <v/>
      </c>
      <c r="L98" s="17">
        <f>IF(A98="","",IF(H98&lt;=F98,"BAIXO","OK"))</f>
        <v/>
      </c>
      <c r="M98" s="15" t="n"/>
    </row>
    <row r="99">
      <c r="A99" s="15" t="n"/>
      <c r="B99" s="15" t="n"/>
      <c r="C99" s="15" t="n"/>
      <c r="D99" s="15" t="n"/>
      <c r="E99" s="15" t="n"/>
      <c r="F99" s="15" t="n"/>
      <c r="G99" s="16" t="n"/>
      <c r="H99" s="17">
        <f>IF(A99="","",E99+SUMIF(Movimentações!$C$5:$C$504,A99,Movimentações!$E$5:$E$504)-SUMIF(Movimentações!$C$5:$C$504,A99,Movimentações!$F$5:$F$504))</f>
        <v/>
      </c>
      <c r="I99" s="18">
        <f>IF(A99="","",H99*G99)</f>
        <v/>
      </c>
      <c r="J99" s="16" t="n"/>
      <c r="K99" s="19">
        <f>IFERROR((J99-G99)/J99,0)</f>
        <v/>
      </c>
      <c r="L99" s="17">
        <f>IF(A99="","",IF(H99&lt;=F99,"BAIXO","OK"))</f>
        <v/>
      </c>
      <c r="M99" s="15" t="n"/>
    </row>
    <row r="100">
      <c r="A100" s="15" t="n"/>
      <c r="B100" s="15" t="n"/>
      <c r="C100" s="15" t="n"/>
      <c r="D100" s="15" t="n"/>
      <c r="E100" s="15" t="n"/>
      <c r="F100" s="15" t="n"/>
      <c r="G100" s="16" t="n"/>
      <c r="H100" s="17">
        <f>IF(A100="","",E100+SUMIF(Movimentações!$C$5:$C$504,A100,Movimentações!$E$5:$E$504)-SUMIF(Movimentações!$C$5:$C$504,A100,Movimentações!$F$5:$F$504))</f>
        <v/>
      </c>
      <c r="I100" s="18">
        <f>IF(A100="","",H100*G100)</f>
        <v/>
      </c>
      <c r="J100" s="16" t="n"/>
      <c r="K100" s="19">
        <f>IFERROR((J100-G100)/J100,0)</f>
        <v/>
      </c>
      <c r="L100" s="17">
        <f>IF(A100="","",IF(H100&lt;=F100,"BAIXO","OK"))</f>
        <v/>
      </c>
      <c r="M100" s="15" t="n"/>
    </row>
    <row r="101">
      <c r="A101" s="15" t="n"/>
      <c r="B101" s="15" t="n"/>
      <c r="C101" s="15" t="n"/>
      <c r="D101" s="15" t="n"/>
      <c r="E101" s="15" t="n"/>
      <c r="F101" s="15" t="n"/>
      <c r="G101" s="16" t="n"/>
      <c r="H101" s="17">
        <f>IF(A101="","",E101+SUMIF(Movimentações!$C$5:$C$504,A101,Movimentações!$E$5:$E$504)-SUMIF(Movimentações!$C$5:$C$504,A101,Movimentações!$F$5:$F$504))</f>
        <v/>
      </c>
      <c r="I101" s="18">
        <f>IF(A101="","",H101*G101)</f>
        <v/>
      </c>
      <c r="J101" s="16" t="n"/>
      <c r="K101" s="19">
        <f>IFERROR((J101-G101)/J101,0)</f>
        <v/>
      </c>
      <c r="L101" s="17">
        <f>IF(A101="","",IF(H101&lt;=F101,"BAIXO","OK"))</f>
        <v/>
      </c>
      <c r="M101" s="15" t="n"/>
    </row>
    <row r="102">
      <c r="A102" s="15" t="n"/>
      <c r="B102" s="15" t="n"/>
      <c r="C102" s="15" t="n"/>
      <c r="D102" s="15" t="n"/>
      <c r="E102" s="15" t="n"/>
      <c r="F102" s="15" t="n"/>
      <c r="G102" s="16" t="n"/>
      <c r="H102" s="17">
        <f>IF(A102="","",E102+SUMIF(Movimentações!$C$5:$C$504,A102,Movimentações!$E$5:$E$504)-SUMIF(Movimentações!$C$5:$C$504,A102,Movimentações!$F$5:$F$504))</f>
        <v/>
      </c>
      <c r="I102" s="18">
        <f>IF(A102="","",H102*G102)</f>
        <v/>
      </c>
      <c r="J102" s="16" t="n"/>
      <c r="K102" s="19">
        <f>IFERROR((J102-G102)/J102,0)</f>
        <v/>
      </c>
      <c r="L102" s="17">
        <f>IF(A102="","",IF(H102&lt;=F102,"BAIXO","OK"))</f>
        <v/>
      </c>
      <c r="M102" s="15" t="n"/>
    </row>
    <row r="103">
      <c r="A103" s="15" t="n"/>
      <c r="B103" s="15" t="n"/>
      <c r="C103" s="15" t="n"/>
      <c r="D103" s="15" t="n"/>
      <c r="E103" s="15" t="n"/>
      <c r="F103" s="15" t="n"/>
      <c r="G103" s="16" t="n"/>
      <c r="H103" s="17">
        <f>IF(A103="","",E103+SUMIF(Movimentações!$C$5:$C$504,A103,Movimentações!$E$5:$E$504)-SUMIF(Movimentações!$C$5:$C$504,A103,Movimentações!$F$5:$F$504))</f>
        <v/>
      </c>
      <c r="I103" s="18">
        <f>IF(A103="","",H103*G103)</f>
        <v/>
      </c>
      <c r="J103" s="16" t="n"/>
      <c r="K103" s="19">
        <f>IFERROR((J103-G103)/J103,0)</f>
        <v/>
      </c>
      <c r="L103" s="17">
        <f>IF(A103="","",IF(H103&lt;=F103,"BAIXO","OK"))</f>
        <v/>
      </c>
      <c r="M103" s="15" t="n"/>
    </row>
    <row r="104">
      <c r="A104" s="15" t="n"/>
      <c r="B104" s="15" t="n"/>
      <c r="C104" s="15" t="n"/>
      <c r="D104" s="15" t="n"/>
      <c r="E104" s="15" t="n"/>
      <c r="F104" s="15" t="n"/>
      <c r="G104" s="16" t="n"/>
      <c r="H104" s="17">
        <f>IF(A104="","",E104+SUMIF(Movimentações!$C$5:$C$504,A104,Movimentações!$E$5:$E$504)-SUMIF(Movimentações!$C$5:$C$504,A104,Movimentações!$F$5:$F$504))</f>
        <v/>
      </c>
      <c r="I104" s="18">
        <f>IF(A104="","",H104*G104)</f>
        <v/>
      </c>
      <c r="J104" s="16" t="n"/>
      <c r="K104" s="19">
        <f>IFERROR((J104-G104)/J104,0)</f>
        <v/>
      </c>
      <c r="L104" s="17">
        <f>IF(A104="","",IF(H104&lt;=F104,"BAIXO","OK"))</f>
        <v/>
      </c>
      <c r="M104" s="15" t="n"/>
    </row>
    <row r="105">
      <c r="A105" s="15" t="n"/>
      <c r="B105" s="15" t="n"/>
      <c r="C105" s="15" t="n"/>
      <c r="D105" s="15" t="n"/>
      <c r="E105" s="15" t="n"/>
      <c r="F105" s="15" t="n"/>
      <c r="G105" s="16" t="n"/>
      <c r="H105" s="17">
        <f>IF(A105="","",E105+SUMIF(Movimentações!$C$5:$C$504,A105,Movimentações!$E$5:$E$504)-SUMIF(Movimentações!$C$5:$C$504,A105,Movimentações!$F$5:$F$504))</f>
        <v/>
      </c>
      <c r="I105" s="18">
        <f>IF(A105="","",H105*G105)</f>
        <v/>
      </c>
      <c r="J105" s="16" t="n"/>
      <c r="K105" s="19">
        <f>IFERROR((J105-G105)/J105,0)</f>
        <v/>
      </c>
      <c r="L105" s="17">
        <f>IF(A105="","",IF(H105&lt;=F105,"BAIXO","OK"))</f>
        <v/>
      </c>
      <c r="M105" s="15" t="n"/>
    </row>
    <row r="106">
      <c r="A106" s="15" t="n"/>
      <c r="B106" s="15" t="n"/>
      <c r="C106" s="15" t="n"/>
      <c r="D106" s="15" t="n"/>
      <c r="E106" s="15" t="n"/>
      <c r="F106" s="15" t="n"/>
      <c r="G106" s="16" t="n"/>
      <c r="H106" s="17">
        <f>IF(A106="","",E106+SUMIF(Movimentações!$C$5:$C$504,A106,Movimentações!$E$5:$E$504)-SUMIF(Movimentações!$C$5:$C$504,A106,Movimentações!$F$5:$F$504))</f>
        <v/>
      </c>
      <c r="I106" s="18">
        <f>IF(A106="","",H106*G106)</f>
        <v/>
      </c>
      <c r="J106" s="16" t="n"/>
      <c r="K106" s="19">
        <f>IFERROR((J106-G106)/J106,0)</f>
        <v/>
      </c>
      <c r="L106" s="17">
        <f>IF(A106="","",IF(H106&lt;=F106,"BAIXO","OK"))</f>
        <v/>
      </c>
      <c r="M106" s="15" t="n"/>
    </row>
    <row r="107">
      <c r="A107" s="15" t="n"/>
      <c r="B107" s="15" t="n"/>
      <c r="C107" s="15" t="n"/>
      <c r="D107" s="15" t="n"/>
      <c r="E107" s="15" t="n"/>
      <c r="F107" s="15" t="n"/>
      <c r="G107" s="16" t="n"/>
      <c r="H107" s="17">
        <f>IF(A107="","",E107+SUMIF(Movimentações!$C$5:$C$504,A107,Movimentações!$E$5:$E$504)-SUMIF(Movimentações!$C$5:$C$504,A107,Movimentações!$F$5:$F$504))</f>
        <v/>
      </c>
      <c r="I107" s="18">
        <f>IF(A107="","",H107*G107)</f>
        <v/>
      </c>
      <c r="J107" s="16" t="n"/>
      <c r="K107" s="19">
        <f>IFERROR((J107-G107)/J107,0)</f>
        <v/>
      </c>
      <c r="L107" s="17">
        <f>IF(A107="","",IF(H107&lt;=F107,"BAIXO","OK"))</f>
        <v/>
      </c>
      <c r="M107" s="15" t="n"/>
    </row>
    <row r="108">
      <c r="A108" s="15" t="n"/>
      <c r="B108" s="15" t="n"/>
      <c r="C108" s="15" t="n"/>
      <c r="D108" s="15" t="n"/>
      <c r="E108" s="15" t="n"/>
      <c r="F108" s="15" t="n"/>
      <c r="G108" s="16" t="n"/>
      <c r="H108" s="17">
        <f>IF(A108="","",E108+SUMIF(Movimentações!$C$5:$C$504,A108,Movimentações!$E$5:$E$504)-SUMIF(Movimentações!$C$5:$C$504,A108,Movimentações!$F$5:$F$504))</f>
        <v/>
      </c>
      <c r="I108" s="18">
        <f>IF(A108="","",H108*G108)</f>
        <v/>
      </c>
      <c r="J108" s="16" t="n"/>
      <c r="K108" s="19">
        <f>IFERROR((J108-G108)/J108,0)</f>
        <v/>
      </c>
      <c r="L108" s="17">
        <f>IF(A108="","",IF(H108&lt;=F108,"BAIXO","OK"))</f>
        <v/>
      </c>
      <c r="M108" s="15" t="n"/>
    </row>
    <row r="109">
      <c r="A109" s="15" t="n"/>
      <c r="B109" s="15" t="n"/>
      <c r="C109" s="15" t="n"/>
      <c r="D109" s="15" t="n"/>
      <c r="E109" s="15" t="n"/>
      <c r="F109" s="15" t="n"/>
      <c r="G109" s="16" t="n"/>
      <c r="H109" s="17">
        <f>IF(A109="","",E109+SUMIF(Movimentações!$C$5:$C$504,A109,Movimentações!$E$5:$E$504)-SUMIF(Movimentações!$C$5:$C$504,A109,Movimentações!$F$5:$F$504))</f>
        <v/>
      </c>
      <c r="I109" s="18">
        <f>IF(A109="","",H109*G109)</f>
        <v/>
      </c>
      <c r="J109" s="16" t="n"/>
      <c r="K109" s="19">
        <f>IFERROR((J109-G109)/J109,0)</f>
        <v/>
      </c>
      <c r="L109" s="17">
        <f>IF(A109="","",IF(H109&lt;=F109,"BAIXO","OK"))</f>
        <v/>
      </c>
      <c r="M109" s="15" t="n"/>
    </row>
    <row r="110">
      <c r="A110" s="15" t="n"/>
      <c r="B110" s="15" t="n"/>
      <c r="C110" s="15" t="n"/>
      <c r="D110" s="15" t="n"/>
      <c r="E110" s="15" t="n"/>
      <c r="F110" s="15" t="n"/>
      <c r="G110" s="16" t="n"/>
      <c r="H110" s="17">
        <f>IF(A110="","",E110+SUMIF(Movimentações!$C$5:$C$504,A110,Movimentações!$E$5:$E$504)-SUMIF(Movimentações!$C$5:$C$504,A110,Movimentações!$F$5:$F$504))</f>
        <v/>
      </c>
      <c r="I110" s="18">
        <f>IF(A110="","",H110*G110)</f>
        <v/>
      </c>
      <c r="J110" s="16" t="n"/>
      <c r="K110" s="19">
        <f>IFERROR((J110-G110)/J110,0)</f>
        <v/>
      </c>
      <c r="L110" s="17">
        <f>IF(A110="","",IF(H110&lt;=F110,"BAIXO","OK"))</f>
        <v/>
      </c>
      <c r="M110" s="15" t="n"/>
    </row>
    <row r="111">
      <c r="A111" s="15" t="n"/>
      <c r="B111" s="15" t="n"/>
      <c r="C111" s="15" t="n"/>
      <c r="D111" s="15" t="n"/>
      <c r="E111" s="15" t="n"/>
      <c r="F111" s="15" t="n"/>
      <c r="G111" s="16" t="n"/>
      <c r="H111" s="17">
        <f>IF(A111="","",E111+SUMIF(Movimentações!$C$5:$C$504,A111,Movimentações!$E$5:$E$504)-SUMIF(Movimentações!$C$5:$C$504,A111,Movimentações!$F$5:$F$504))</f>
        <v/>
      </c>
      <c r="I111" s="18">
        <f>IF(A111="","",H111*G111)</f>
        <v/>
      </c>
      <c r="J111" s="16" t="n"/>
      <c r="K111" s="19">
        <f>IFERROR((J111-G111)/J111,0)</f>
        <v/>
      </c>
      <c r="L111" s="17">
        <f>IF(A111="","",IF(H111&lt;=F111,"BAIXO","OK"))</f>
        <v/>
      </c>
      <c r="M111" s="15" t="n"/>
    </row>
    <row r="112">
      <c r="A112" s="15" t="n"/>
      <c r="B112" s="15" t="n"/>
      <c r="C112" s="15" t="n"/>
      <c r="D112" s="15" t="n"/>
      <c r="E112" s="15" t="n"/>
      <c r="F112" s="15" t="n"/>
      <c r="G112" s="16" t="n"/>
      <c r="H112" s="17">
        <f>IF(A112="","",E112+SUMIF(Movimentações!$C$5:$C$504,A112,Movimentações!$E$5:$E$504)-SUMIF(Movimentações!$C$5:$C$504,A112,Movimentações!$F$5:$F$504))</f>
        <v/>
      </c>
      <c r="I112" s="18">
        <f>IF(A112="","",H112*G112)</f>
        <v/>
      </c>
      <c r="J112" s="16" t="n"/>
      <c r="K112" s="19">
        <f>IFERROR((J112-G112)/J112,0)</f>
        <v/>
      </c>
      <c r="L112" s="17">
        <f>IF(A112="","",IF(H112&lt;=F112,"BAIXO","OK"))</f>
        <v/>
      </c>
      <c r="M112" s="15" t="n"/>
    </row>
    <row r="113">
      <c r="A113" s="15" t="n"/>
      <c r="B113" s="15" t="n"/>
      <c r="C113" s="15" t="n"/>
      <c r="D113" s="15" t="n"/>
      <c r="E113" s="15" t="n"/>
      <c r="F113" s="15" t="n"/>
      <c r="G113" s="16" t="n"/>
      <c r="H113" s="17">
        <f>IF(A113="","",E113+SUMIF(Movimentações!$C$5:$C$504,A113,Movimentações!$E$5:$E$504)-SUMIF(Movimentações!$C$5:$C$504,A113,Movimentações!$F$5:$F$504))</f>
        <v/>
      </c>
      <c r="I113" s="18">
        <f>IF(A113="","",H113*G113)</f>
        <v/>
      </c>
      <c r="J113" s="16" t="n"/>
      <c r="K113" s="19">
        <f>IFERROR((J113-G113)/J113,0)</f>
        <v/>
      </c>
      <c r="L113" s="17">
        <f>IF(A113="","",IF(H113&lt;=F113,"BAIXO","OK"))</f>
        <v/>
      </c>
      <c r="M113" s="15" t="n"/>
    </row>
    <row r="114">
      <c r="A114" s="15" t="n"/>
      <c r="B114" s="15" t="n"/>
      <c r="C114" s="15" t="n"/>
      <c r="D114" s="15" t="n"/>
      <c r="E114" s="15" t="n"/>
      <c r="F114" s="15" t="n"/>
      <c r="G114" s="16" t="n"/>
      <c r="H114" s="17">
        <f>IF(A114="","",E114+SUMIF(Movimentações!$C$5:$C$504,A114,Movimentações!$E$5:$E$504)-SUMIF(Movimentações!$C$5:$C$504,A114,Movimentações!$F$5:$F$504))</f>
        <v/>
      </c>
      <c r="I114" s="18">
        <f>IF(A114="","",H114*G114)</f>
        <v/>
      </c>
      <c r="J114" s="16" t="n"/>
      <c r="K114" s="19">
        <f>IFERROR((J114-G114)/J114,0)</f>
        <v/>
      </c>
      <c r="L114" s="17">
        <f>IF(A114="","",IF(H114&lt;=F114,"BAIXO","OK"))</f>
        <v/>
      </c>
      <c r="M114" s="15" t="n"/>
    </row>
    <row r="115">
      <c r="A115" s="15" t="n"/>
      <c r="B115" s="15" t="n"/>
      <c r="C115" s="15" t="n"/>
      <c r="D115" s="15" t="n"/>
      <c r="E115" s="15" t="n"/>
      <c r="F115" s="15" t="n"/>
      <c r="G115" s="16" t="n"/>
      <c r="H115" s="17">
        <f>IF(A115="","",E115+SUMIF(Movimentações!$C$5:$C$504,A115,Movimentações!$E$5:$E$504)-SUMIF(Movimentações!$C$5:$C$504,A115,Movimentações!$F$5:$F$504))</f>
        <v/>
      </c>
      <c r="I115" s="18">
        <f>IF(A115="","",H115*G115)</f>
        <v/>
      </c>
      <c r="J115" s="16" t="n"/>
      <c r="K115" s="19">
        <f>IFERROR((J115-G115)/J115,0)</f>
        <v/>
      </c>
      <c r="L115" s="17">
        <f>IF(A115="","",IF(H115&lt;=F115,"BAIXO","OK"))</f>
        <v/>
      </c>
      <c r="M115" s="15" t="n"/>
    </row>
    <row r="116">
      <c r="A116" s="15" t="n"/>
      <c r="B116" s="15" t="n"/>
      <c r="C116" s="15" t="n"/>
      <c r="D116" s="15" t="n"/>
      <c r="E116" s="15" t="n"/>
      <c r="F116" s="15" t="n"/>
      <c r="G116" s="16" t="n"/>
      <c r="H116" s="17">
        <f>IF(A116="","",E116+SUMIF(Movimentações!$C$5:$C$504,A116,Movimentações!$E$5:$E$504)-SUMIF(Movimentações!$C$5:$C$504,A116,Movimentações!$F$5:$F$504))</f>
        <v/>
      </c>
      <c r="I116" s="18">
        <f>IF(A116="","",H116*G116)</f>
        <v/>
      </c>
      <c r="J116" s="16" t="n"/>
      <c r="K116" s="19">
        <f>IFERROR((J116-G116)/J116,0)</f>
        <v/>
      </c>
      <c r="L116" s="17">
        <f>IF(A116="","",IF(H116&lt;=F116,"BAIXO","OK"))</f>
        <v/>
      </c>
      <c r="M116" s="15" t="n"/>
    </row>
    <row r="117">
      <c r="A117" s="15" t="n"/>
      <c r="B117" s="15" t="n"/>
      <c r="C117" s="15" t="n"/>
      <c r="D117" s="15" t="n"/>
      <c r="E117" s="15" t="n"/>
      <c r="F117" s="15" t="n"/>
      <c r="G117" s="16" t="n"/>
      <c r="H117" s="17">
        <f>IF(A117="","",E117+SUMIF(Movimentações!$C$5:$C$504,A117,Movimentações!$E$5:$E$504)-SUMIF(Movimentações!$C$5:$C$504,A117,Movimentações!$F$5:$F$504))</f>
        <v/>
      </c>
      <c r="I117" s="18">
        <f>IF(A117="","",H117*G117)</f>
        <v/>
      </c>
      <c r="J117" s="16" t="n"/>
      <c r="K117" s="19">
        <f>IFERROR((J117-G117)/J117,0)</f>
        <v/>
      </c>
      <c r="L117" s="17">
        <f>IF(A117="","",IF(H117&lt;=F117,"BAIXO","OK"))</f>
        <v/>
      </c>
      <c r="M117" s="15" t="n"/>
    </row>
    <row r="118">
      <c r="A118" s="15" t="n"/>
      <c r="B118" s="15" t="n"/>
      <c r="C118" s="15" t="n"/>
      <c r="D118" s="15" t="n"/>
      <c r="E118" s="15" t="n"/>
      <c r="F118" s="15" t="n"/>
      <c r="G118" s="16" t="n"/>
      <c r="H118" s="17">
        <f>IF(A118="","",E118+SUMIF(Movimentações!$C$5:$C$504,A118,Movimentações!$E$5:$E$504)-SUMIF(Movimentações!$C$5:$C$504,A118,Movimentações!$F$5:$F$504))</f>
        <v/>
      </c>
      <c r="I118" s="18">
        <f>IF(A118="","",H118*G118)</f>
        <v/>
      </c>
      <c r="J118" s="16" t="n"/>
      <c r="K118" s="19">
        <f>IFERROR((J118-G118)/J118,0)</f>
        <v/>
      </c>
      <c r="L118" s="17">
        <f>IF(A118="","",IF(H118&lt;=F118,"BAIXO","OK"))</f>
        <v/>
      </c>
      <c r="M118" s="15" t="n"/>
    </row>
    <row r="119">
      <c r="A119" s="15" t="n"/>
      <c r="B119" s="15" t="n"/>
      <c r="C119" s="15" t="n"/>
      <c r="D119" s="15" t="n"/>
      <c r="E119" s="15" t="n"/>
      <c r="F119" s="15" t="n"/>
      <c r="G119" s="16" t="n"/>
      <c r="H119" s="17">
        <f>IF(A119="","",E119+SUMIF(Movimentações!$C$5:$C$504,A119,Movimentações!$E$5:$E$504)-SUMIF(Movimentações!$C$5:$C$504,A119,Movimentações!$F$5:$F$504))</f>
        <v/>
      </c>
      <c r="I119" s="18">
        <f>IF(A119="","",H119*G119)</f>
        <v/>
      </c>
      <c r="J119" s="16" t="n"/>
      <c r="K119" s="19">
        <f>IFERROR((J119-G119)/J119,0)</f>
        <v/>
      </c>
      <c r="L119" s="17">
        <f>IF(A119="","",IF(H119&lt;=F119,"BAIXO","OK"))</f>
        <v/>
      </c>
      <c r="M119" s="15" t="n"/>
    </row>
    <row r="120">
      <c r="A120" s="15" t="n"/>
      <c r="B120" s="15" t="n"/>
      <c r="C120" s="15" t="n"/>
      <c r="D120" s="15" t="n"/>
      <c r="E120" s="15" t="n"/>
      <c r="F120" s="15" t="n"/>
      <c r="G120" s="16" t="n"/>
      <c r="H120" s="17">
        <f>IF(A120="","",E120+SUMIF(Movimentações!$C$5:$C$504,A120,Movimentações!$E$5:$E$504)-SUMIF(Movimentações!$C$5:$C$504,A120,Movimentações!$F$5:$F$504))</f>
        <v/>
      </c>
      <c r="I120" s="18">
        <f>IF(A120="","",H120*G120)</f>
        <v/>
      </c>
      <c r="J120" s="16" t="n"/>
      <c r="K120" s="19">
        <f>IFERROR((J120-G120)/J120,0)</f>
        <v/>
      </c>
      <c r="L120" s="17">
        <f>IF(A120="","",IF(H120&lt;=F120,"BAIXO","OK"))</f>
        <v/>
      </c>
      <c r="M120" s="15" t="n"/>
    </row>
    <row r="121">
      <c r="A121" s="15" t="n"/>
      <c r="B121" s="15" t="n"/>
      <c r="C121" s="15" t="n"/>
      <c r="D121" s="15" t="n"/>
      <c r="E121" s="15" t="n"/>
      <c r="F121" s="15" t="n"/>
      <c r="G121" s="16" t="n"/>
      <c r="H121" s="17">
        <f>IF(A121="","",E121+SUMIF(Movimentações!$C$5:$C$504,A121,Movimentações!$E$5:$E$504)-SUMIF(Movimentações!$C$5:$C$504,A121,Movimentações!$F$5:$F$504))</f>
        <v/>
      </c>
      <c r="I121" s="18">
        <f>IF(A121="","",H121*G121)</f>
        <v/>
      </c>
      <c r="J121" s="16" t="n"/>
      <c r="K121" s="19">
        <f>IFERROR((J121-G121)/J121,0)</f>
        <v/>
      </c>
      <c r="L121" s="17">
        <f>IF(A121="","",IF(H121&lt;=F121,"BAIXO","OK"))</f>
        <v/>
      </c>
      <c r="M121" s="15" t="n"/>
    </row>
    <row r="122">
      <c r="A122" s="15" t="n"/>
      <c r="B122" s="15" t="n"/>
      <c r="C122" s="15" t="n"/>
      <c r="D122" s="15" t="n"/>
      <c r="E122" s="15" t="n"/>
      <c r="F122" s="15" t="n"/>
      <c r="G122" s="16" t="n"/>
      <c r="H122" s="17">
        <f>IF(A122="","",E122+SUMIF(Movimentações!$C$5:$C$504,A122,Movimentações!$E$5:$E$504)-SUMIF(Movimentações!$C$5:$C$504,A122,Movimentações!$F$5:$F$504))</f>
        <v/>
      </c>
      <c r="I122" s="18">
        <f>IF(A122="","",H122*G122)</f>
        <v/>
      </c>
      <c r="J122" s="16" t="n"/>
      <c r="K122" s="19">
        <f>IFERROR((J122-G122)/J122,0)</f>
        <v/>
      </c>
      <c r="L122" s="17">
        <f>IF(A122="","",IF(H122&lt;=F122,"BAIXO","OK"))</f>
        <v/>
      </c>
      <c r="M122" s="15" t="n"/>
    </row>
    <row r="123">
      <c r="A123" s="15" t="n"/>
      <c r="B123" s="15" t="n"/>
      <c r="C123" s="15" t="n"/>
      <c r="D123" s="15" t="n"/>
      <c r="E123" s="15" t="n"/>
      <c r="F123" s="15" t="n"/>
      <c r="G123" s="16" t="n"/>
      <c r="H123" s="17">
        <f>IF(A123="","",E123+SUMIF(Movimentações!$C$5:$C$504,A123,Movimentações!$E$5:$E$504)-SUMIF(Movimentações!$C$5:$C$504,A123,Movimentações!$F$5:$F$504))</f>
        <v/>
      </c>
      <c r="I123" s="18">
        <f>IF(A123="","",H123*G123)</f>
        <v/>
      </c>
      <c r="J123" s="16" t="n"/>
      <c r="K123" s="19">
        <f>IFERROR((J123-G123)/J123,0)</f>
        <v/>
      </c>
      <c r="L123" s="17">
        <f>IF(A123="","",IF(H123&lt;=F123,"BAIXO","OK"))</f>
        <v/>
      </c>
      <c r="M123" s="15" t="n"/>
    </row>
    <row r="124">
      <c r="A124" s="15" t="n"/>
      <c r="B124" s="15" t="n"/>
      <c r="C124" s="15" t="n"/>
      <c r="D124" s="15" t="n"/>
      <c r="E124" s="15" t="n"/>
      <c r="F124" s="15" t="n"/>
      <c r="G124" s="16" t="n"/>
      <c r="H124" s="17">
        <f>IF(A124="","",E124+SUMIF(Movimentações!$C$5:$C$504,A124,Movimentações!$E$5:$E$504)-SUMIF(Movimentações!$C$5:$C$504,A124,Movimentações!$F$5:$F$504))</f>
        <v/>
      </c>
      <c r="I124" s="18">
        <f>IF(A124="","",H124*G124)</f>
        <v/>
      </c>
      <c r="J124" s="16" t="n"/>
      <c r="K124" s="19">
        <f>IFERROR((J124-G124)/J124,0)</f>
        <v/>
      </c>
      <c r="L124" s="17">
        <f>IF(A124="","",IF(H124&lt;=F124,"BAIXO","OK"))</f>
        <v/>
      </c>
      <c r="M124" s="15" t="n"/>
    </row>
    <row r="125">
      <c r="A125" s="15" t="n"/>
      <c r="B125" s="15" t="n"/>
      <c r="C125" s="15" t="n"/>
      <c r="D125" s="15" t="n"/>
      <c r="E125" s="15" t="n"/>
      <c r="F125" s="15" t="n"/>
      <c r="G125" s="16" t="n"/>
      <c r="H125" s="17">
        <f>IF(A125="","",E125+SUMIF(Movimentações!$C$5:$C$504,A125,Movimentações!$E$5:$E$504)-SUMIF(Movimentações!$C$5:$C$504,A125,Movimentações!$F$5:$F$504))</f>
        <v/>
      </c>
      <c r="I125" s="18">
        <f>IF(A125="","",H125*G125)</f>
        <v/>
      </c>
      <c r="J125" s="16" t="n"/>
      <c r="K125" s="19">
        <f>IFERROR((J125-G125)/J125,0)</f>
        <v/>
      </c>
      <c r="L125" s="17">
        <f>IF(A125="","",IF(H125&lt;=F125,"BAIXO","OK"))</f>
        <v/>
      </c>
      <c r="M125" s="15" t="n"/>
    </row>
    <row r="126">
      <c r="A126" s="15" t="n"/>
      <c r="B126" s="15" t="n"/>
      <c r="C126" s="15" t="n"/>
      <c r="D126" s="15" t="n"/>
      <c r="E126" s="15" t="n"/>
      <c r="F126" s="15" t="n"/>
      <c r="G126" s="16" t="n"/>
      <c r="H126" s="17">
        <f>IF(A126="","",E126+SUMIF(Movimentações!$C$5:$C$504,A126,Movimentações!$E$5:$E$504)-SUMIF(Movimentações!$C$5:$C$504,A126,Movimentações!$F$5:$F$504))</f>
        <v/>
      </c>
      <c r="I126" s="18">
        <f>IF(A126="","",H126*G126)</f>
        <v/>
      </c>
      <c r="J126" s="16" t="n"/>
      <c r="K126" s="19">
        <f>IFERROR((J126-G126)/J126,0)</f>
        <v/>
      </c>
      <c r="L126" s="17">
        <f>IF(A126="","",IF(H126&lt;=F126,"BAIXO","OK"))</f>
        <v/>
      </c>
      <c r="M126" s="15" t="n"/>
    </row>
    <row r="127">
      <c r="A127" s="15" t="n"/>
      <c r="B127" s="15" t="n"/>
      <c r="C127" s="15" t="n"/>
      <c r="D127" s="15" t="n"/>
      <c r="E127" s="15" t="n"/>
      <c r="F127" s="15" t="n"/>
      <c r="G127" s="16" t="n"/>
      <c r="H127" s="17">
        <f>IF(A127="","",E127+SUMIF(Movimentações!$C$5:$C$504,A127,Movimentações!$E$5:$E$504)-SUMIF(Movimentações!$C$5:$C$504,A127,Movimentações!$F$5:$F$504))</f>
        <v/>
      </c>
      <c r="I127" s="18">
        <f>IF(A127="","",H127*G127)</f>
        <v/>
      </c>
      <c r="J127" s="16" t="n"/>
      <c r="K127" s="19">
        <f>IFERROR((J127-G127)/J127,0)</f>
        <v/>
      </c>
      <c r="L127" s="17">
        <f>IF(A127="","",IF(H127&lt;=F127,"BAIXO","OK"))</f>
        <v/>
      </c>
      <c r="M127" s="15" t="n"/>
    </row>
    <row r="128">
      <c r="A128" s="15" t="n"/>
      <c r="B128" s="15" t="n"/>
      <c r="C128" s="15" t="n"/>
      <c r="D128" s="15" t="n"/>
      <c r="E128" s="15" t="n"/>
      <c r="F128" s="15" t="n"/>
      <c r="G128" s="16" t="n"/>
      <c r="H128" s="17">
        <f>IF(A128="","",E128+SUMIF(Movimentações!$C$5:$C$504,A128,Movimentações!$E$5:$E$504)-SUMIF(Movimentações!$C$5:$C$504,A128,Movimentações!$F$5:$F$504))</f>
        <v/>
      </c>
      <c r="I128" s="18">
        <f>IF(A128="","",H128*G128)</f>
        <v/>
      </c>
      <c r="J128" s="16" t="n"/>
      <c r="K128" s="19">
        <f>IFERROR((J128-G128)/J128,0)</f>
        <v/>
      </c>
      <c r="L128" s="17">
        <f>IF(A128="","",IF(H128&lt;=F128,"BAIXO","OK"))</f>
        <v/>
      </c>
      <c r="M128" s="15" t="n"/>
    </row>
    <row r="129">
      <c r="A129" s="15" t="n"/>
      <c r="B129" s="15" t="n"/>
      <c r="C129" s="15" t="n"/>
      <c r="D129" s="15" t="n"/>
      <c r="E129" s="15" t="n"/>
      <c r="F129" s="15" t="n"/>
      <c r="G129" s="16" t="n"/>
      <c r="H129" s="17">
        <f>IF(A129="","",E129+SUMIF(Movimentações!$C$5:$C$504,A129,Movimentações!$E$5:$E$504)-SUMIF(Movimentações!$C$5:$C$504,A129,Movimentações!$F$5:$F$504))</f>
        <v/>
      </c>
      <c r="I129" s="18">
        <f>IF(A129="","",H129*G129)</f>
        <v/>
      </c>
      <c r="J129" s="16" t="n"/>
      <c r="K129" s="19">
        <f>IFERROR((J129-G129)/J129,0)</f>
        <v/>
      </c>
      <c r="L129" s="17">
        <f>IF(A129="","",IF(H129&lt;=F129,"BAIXO","OK"))</f>
        <v/>
      </c>
      <c r="M129" s="15" t="n"/>
    </row>
    <row r="130">
      <c r="A130" s="15" t="n"/>
      <c r="B130" s="15" t="n"/>
      <c r="C130" s="15" t="n"/>
      <c r="D130" s="15" t="n"/>
      <c r="E130" s="15" t="n"/>
      <c r="F130" s="15" t="n"/>
      <c r="G130" s="16" t="n"/>
      <c r="H130" s="17">
        <f>IF(A130="","",E130+SUMIF(Movimentações!$C$5:$C$504,A130,Movimentações!$E$5:$E$504)-SUMIF(Movimentações!$C$5:$C$504,A130,Movimentações!$F$5:$F$504))</f>
        <v/>
      </c>
      <c r="I130" s="18">
        <f>IF(A130="","",H130*G130)</f>
        <v/>
      </c>
      <c r="J130" s="16" t="n"/>
      <c r="K130" s="19">
        <f>IFERROR((J130-G130)/J130,0)</f>
        <v/>
      </c>
      <c r="L130" s="17">
        <f>IF(A130="","",IF(H130&lt;=F130,"BAIXO","OK"))</f>
        <v/>
      </c>
      <c r="M130" s="15" t="n"/>
    </row>
    <row r="131">
      <c r="A131" s="15" t="n"/>
      <c r="B131" s="15" t="n"/>
      <c r="C131" s="15" t="n"/>
      <c r="D131" s="15" t="n"/>
      <c r="E131" s="15" t="n"/>
      <c r="F131" s="15" t="n"/>
      <c r="G131" s="16" t="n"/>
      <c r="H131" s="17">
        <f>IF(A131="","",E131+SUMIF(Movimentações!$C$5:$C$504,A131,Movimentações!$E$5:$E$504)-SUMIF(Movimentações!$C$5:$C$504,A131,Movimentações!$F$5:$F$504))</f>
        <v/>
      </c>
      <c r="I131" s="18">
        <f>IF(A131="","",H131*G131)</f>
        <v/>
      </c>
      <c r="J131" s="16" t="n"/>
      <c r="K131" s="19">
        <f>IFERROR((J131-G131)/J131,0)</f>
        <v/>
      </c>
      <c r="L131" s="17">
        <f>IF(A131="","",IF(H131&lt;=F131,"BAIXO","OK"))</f>
        <v/>
      </c>
      <c r="M131" s="15" t="n"/>
    </row>
    <row r="132">
      <c r="A132" s="15" t="n"/>
      <c r="B132" s="15" t="n"/>
      <c r="C132" s="15" t="n"/>
      <c r="D132" s="15" t="n"/>
      <c r="E132" s="15" t="n"/>
      <c r="F132" s="15" t="n"/>
      <c r="G132" s="16" t="n"/>
      <c r="H132" s="17">
        <f>IF(A132="","",E132+SUMIF(Movimentações!$C$5:$C$504,A132,Movimentações!$E$5:$E$504)-SUMIF(Movimentações!$C$5:$C$504,A132,Movimentações!$F$5:$F$504))</f>
        <v/>
      </c>
      <c r="I132" s="18">
        <f>IF(A132="","",H132*G132)</f>
        <v/>
      </c>
      <c r="J132" s="16" t="n"/>
      <c r="K132" s="19">
        <f>IFERROR((J132-G132)/J132,0)</f>
        <v/>
      </c>
      <c r="L132" s="17">
        <f>IF(A132="","",IF(H132&lt;=F132,"BAIXO","OK"))</f>
        <v/>
      </c>
      <c r="M132" s="15" t="n"/>
    </row>
    <row r="133">
      <c r="A133" s="15" t="n"/>
      <c r="B133" s="15" t="n"/>
      <c r="C133" s="15" t="n"/>
      <c r="D133" s="15" t="n"/>
      <c r="E133" s="15" t="n"/>
      <c r="F133" s="15" t="n"/>
      <c r="G133" s="16" t="n"/>
      <c r="H133" s="17">
        <f>IF(A133="","",E133+SUMIF(Movimentações!$C$5:$C$504,A133,Movimentações!$E$5:$E$504)-SUMIF(Movimentações!$C$5:$C$504,A133,Movimentações!$F$5:$F$504))</f>
        <v/>
      </c>
      <c r="I133" s="18">
        <f>IF(A133="","",H133*G133)</f>
        <v/>
      </c>
      <c r="J133" s="16" t="n"/>
      <c r="K133" s="19">
        <f>IFERROR((J133-G133)/J133,0)</f>
        <v/>
      </c>
      <c r="L133" s="17">
        <f>IF(A133="","",IF(H133&lt;=F133,"BAIXO","OK"))</f>
        <v/>
      </c>
      <c r="M133" s="15" t="n"/>
    </row>
    <row r="134">
      <c r="A134" s="15" t="n"/>
      <c r="B134" s="15" t="n"/>
      <c r="C134" s="15" t="n"/>
      <c r="D134" s="15" t="n"/>
      <c r="E134" s="15" t="n"/>
      <c r="F134" s="15" t="n"/>
      <c r="G134" s="16" t="n"/>
      <c r="H134" s="17">
        <f>IF(A134="","",E134+SUMIF(Movimentações!$C$5:$C$504,A134,Movimentações!$E$5:$E$504)-SUMIF(Movimentações!$C$5:$C$504,A134,Movimentações!$F$5:$F$504))</f>
        <v/>
      </c>
      <c r="I134" s="18">
        <f>IF(A134="","",H134*G134)</f>
        <v/>
      </c>
      <c r="J134" s="16" t="n"/>
      <c r="K134" s="19">
        <f>IFERROR((J134-G134)/J134,0)</f>
        <v/>
      </c>
      <c r="L134" s="17">
        <f>IF(A134="","",IF(H134&lt;=F134,"BAIXO","OK"))</f>
        <v/>
      </c>
      <c r="M134" s="15" t="n"/>
    </row>
    <row r="135">
      <c r="A135" s="15" t="n"/>
      <c r="B135" s="15" t="n"/>
      <c r="C135" s="15" t="n"/>
      <c r="D135" s="15" t="n"/>
      <c r="E135" s="15" t="n"/>
      <c r="F135" s="15" t="n"/>
      <c r="G135" s="16" t="n"/>
      <c r="H135" s="17">
        <f>IF(A135="","",E135+SUMIF(Movimentações!$C$5:$C$504,A135,Movimentações!$E$5:$E$504)-SUMIF(Movimentações!$C$5:$C$504,A135,Movimentações!$F$5:$F$504))</f>
        <v/>
      </c>
      <c r="I135" s="18">
        <f>IF(A135="","",H135*G135)</f>
        <v/>
      </c>
      <c r="J135" s="16" t="n"/>
      <c r="K135" s="19">
        <f>IFERROR((J135-G135)/J135,0)</f>
        <v/>
      </c>
      <c r="L135" s="17">
        <f>IF(A135="","",IF(H135&lt;=F135,"BAIXO","OK"))</f>
        <v/>
      </c>
      <c r="M135" s="15" t="n"/>
    </row>
    <row r="136">
      <c r="A136" s="15" t="n"/>
      <c r="B136" s="15" t="n"/>
      <c r="C136" s="15" t="n"/>
      <c r="D136" s="15" t="n"/>
      <c r="E136" s="15" t="n"/>
      <c r="F136" s="15" t="n"/>
      <c r="G136" s="16" t="n"/>
      <c r="H136" s="17">
        <f>IF(A136="","",E136+SUMIF(Movimentações!$C$5:$C$504,A136,Movimentações!$E$5:$E$504)-SUMIF(Movimentações!$C$5:$C$504,A136,Movimentações!$F$5:$F$504))</f>
        <v/>
      </c>
      <c r="I136" s="18">
        <f>IF(A136="","",H136*G136)</f>
        <v/>
      </c>
      <c r="J136" s="16" t="n"/>
      <c r="K136" s="19">
        <f>IFERROR((J136-G136)/J136,0)</f>
        <v/>
      </c>
      <c r="L136" s="17">
        <f>IF(A136="","",IF(H136&lt;=F136,"BAIXO","OK"))</f>
        <v/>
      </c>
      <c r="M136" s="15" t="n"/>
    </row>
    <row r="137">
      <c r="A137" s="15" t="n"/>
      <c r="B137" s="15" t="n"/>
      <c r="C137" s="15" t="n"/>
      <c r="D137" s="15" t="n"/>
      <c r="E137" s="15" t="n"/>
      <c r="F137" s="15" t="n"/>
      <c r="G137" s="16" t="n"/>
      <c r="H137" s="17">
        <f>IF(A137="","",E137+SUMIF(Movimentações!$C$5:$C$504,A137,Movimentações!$E$5:$E$504)-SUMIF(Movimentações!$C$5:$C$504,A137,Movimentações!$F$5:$F$504))</f>
        <v/>
      </c>
      <c r="I137" s="18">
        <f>IF(A137="","",H137*G137)</f>
        <v/>
      </c>
      <c r="J137" s="16" t="n"/>
      <c r="K137" s="19">
        <f>IFERROR((J137-G137)/J137,0)</f>
        <v/>
      </c>
      <c r="L137" s="17">
        <f>IF(A137="","",IF(H137&lt;=F137,"BAIXO","OK"))</f>
        <v/>
      </c>
      <c r="M137" s="15" t="n"/>
    </row>
    <row r="138">
      <c r="A138" s="15" t="n"/>
      <c r="B138" s="15" t="n"/>
      <c r="C138" s="15" t="n"/>
      <c r="D138" s="15" t="n"/>
      <c r="E138" s="15" t="n"/>
      <c r="F138" s="15" t="n"/>
      <c r="G138" s="16" t="n"/>
      <c r="H138" s="17">
        <f>IF(A138="","",E138+SUMIF(Movimentações!$C$5:$C$504,A138,Movimentações!$E$5:$E$504)-SUMIF(Movimentações!$C$5:$C$504,A138,Movimentações!$F$5:$F$504))</f>
        <v/>
      </c>
      <c r="I138" s="18">
        <f>IF(A138="","",H138*G138)</f>
        <v/>
      </c>
      <c r="J138" s="16" t="n"/>
      <c r="K138" s="19">
        <f>IFERROR((J138-G138)/J138,0)</f>
        <v/>
      </c>
      <c r="L138" s="17">
        <f>IF(A138="","",IF(H138&lt;=F138,"BAIXO","OK"))</f>
        <v/>
      </c>
      <c r="M138" s="15" t="n"/>
    </row>
    <row r="139">
      <c r="A139" s="15" t="n"/>
      <c r="B139" s="15" t="n"/>
      <c r="C139" s="15" t="n"/>
      <c r="D139" s="15" t="n"/>
      <c r="E139" s="15" t="n"/>
      <c r="F139" s="15" t="n"/>
      <c r="G139" s="16" t="n"/>
      <c r="H139" s="17">
        <f>IF(A139="","",E139+SUMIF(Movimentações!$C$5:$C$504,A139,Movimentações!$E$5:$E$504)-SUMIF(Movimentações!$C$5:$C$504,A139,Movimentações!$F$5:$F$504))</f>
        <v/>
      </c>
      <c r="I139" s="18">
        <f>IF(A139="","",H139*G139)</f>
        <v/>
      </c>
      <c r="J139" s="16" t="n"/>
      <c r="K139" s="19">
        <f>IFERROR((J139-G139)/J139,0)</f>
        <v/>
      </c>
      <c r="L139" s="17">
        <f>IF(A139="","",IF(H139&lt;=F139,"BAIXO","OK"))</f>
        <v/>
      </c>
      <c r="M139" s="15" t="n"/>
    </row>
    <row r="140">
      <c r="A140" s="15" t="n"/>
      <c r="B140" s="15" t="n"/>
      <c r="C140" s="15" t="n"/>
      <c r="D140" s="15" t="n"/>
      <c r="E140" s="15" t="n"/>
      <c r="F140" s="15" t="n"/>
      <c r="G140" s="16" t="n"/>
      <c r="H140" s="17">
        <f>IF(A140="","",E140+SUMIF(Movimentações!$C$5:$C$504,A140,Movimentações!$E$5:$E$504)-SUMIF(Movimentações!$C$5:$C$504,A140,Movimentações!$F$5:$F$504))</f>
        <v/>
      </c>
      <c r="I140" s="18">
        <f>IF(A140="","",H140*G140)</f>
        <v/>
      </c>
      <c r="J140" s="16" t="n"/>
      <c r="K140" s="19">
        <f>IFERROR((J140-G140)/J140,0)</f>
        <v/>
      </c>
      <c r="L140" s="17">
        <f>IF(A140="","",IF(H140&lt;=F140,"BAIXO","OK"))</f>
        <v/>
      </c>
      <c r="M140" s="15" t="n"/>
    </row>
    <row r="141">
      <c r="A141" s="15" t="n"/>
      <c r="B141" s="15" t="n"/>
      <c r="C141" s="15" t="n"/>
      <c r="D141" s="15" t="n"/>
      <c r="E141" s="15" t="n"/>
      <c r="F141" s="15" t="n"/>
      <c r="G141" s="16" t="n"/>
      <c r="H141" s="17">
        <f>IF(A141="","",E141+SUMIF(Movimentações!$C$5:$C$504,A141,Movimentações!$E$5:$E$504)-SUMIF(Movimentações!$C$5:$C$504,A141,Movimentações!$F$5:$F$504))</f>
        <v/>
      </c>
      <c r="I141" s="18">
        <f>IF(A141="","",H141*G141)</f>
        <v/>
      </c>
      <c r="J141" s="16" t="n"/>
      <c r="K141" s="19">
        <f>IFERROR((J141-G141)/J141,0)</f>
        <v/>
      </c>
      <c r="L141" s="17">
        <f>IF(A141="","",IF(H141&lt;=F141,"BAIXO","OK"))</f>
        <v/>
      </c>
      <c r="M141" s="15" t="n"/>
    </row>
    <row r="142">
      <c r="A142" s="15" t="n"/>
      <c r="B142" s="15" t="n"/>
      <c r="C142" s="15" t="n"/>
      <c r="D142" s="15" t="n"/>
      <c r="E142" s="15" t="n"/>
      <c r="F142" s="15" t="n"/>
      <c r="G142" s="16" t="n"/>
      <c r="H142" s="17">
        <f>IF(A142="","",E142+SUMIF(Movimentações!$C$5:$C$504,A142,Movimentações!$E$5:$E$504)-SUMIF(Movimentações!$C$5:$C$504,A142,Movimentações!$F$5:$F$504))</f>
        <v/>
      </c>
      <c r="I142" s="18">
        <f>IF(A142="","",H142*G142)</f>
        <v/>
      </c>
      <c r="J142" s="16" t="n"/>
      <c r="K142" s="19">
        <f>IFERROR((J142-G142)/J142,0)</f>
        <v/>
      </c>
      <c r="L142" s="17">
        <f>IF(A142="","",IF(H142&lt;=F142,"BAIXO","OK"))</f>
        <v/>
      </c>
      <c r="M142" s="15" t="n"/>
    </row>
    <row r="143">
      <c r="A143" s="15" t="n"/>
      <c r="B143" s="15" t="n"/>
      <c r="C143" s="15" t="n"/>
      <c r="D143" s="15" t="n"/>
      <c r="E143" s="15" t="n"/>
      <c r="F143" s="15" t="n"/>
      <c r="G143" s="16" t="n"/>
      <c r="H143" s="17">
        <f>IF(A143="","",E143+SUMIF(Movimentações!$C$5:$C$504,A143,Movimentações!$E$5:$E$504)-SUMIF(Movimentações!$C$5:$C$504,A143,Movimentações!$F$5:$F$504))</f>
        <v/>
      </c>
      <c r="I143" s="18">
        <f>IF(A143="","",H143*G143)</f>
        <v/>
      </c>
      <c r="J143" s="16" t="n"/>
      <c r="K143" s="19">
        <f>IFERROR((J143-G143)/J143,0)</f>
        <v/>
      </c>
      <c r="L143" s="17">
        <f>IF(A143="","",IF(H143&lt;=F143,"BAIXO","OK"))</f>
        <v/>
      </c>
      <c r="M143" s="15" t="n"/>
    </row>
    <row r="144">
      <c r="A144" s="15" t="n"/>
      <c r="B144" s="15" t="n"/>
      <c r="C144" s="15" t="n"/>
      <c r="D144" s="15" t="n"/>
      <c r="E144" s="15" t="n"/>
      <c r="F144" s="15" t="n"/>
      <c r="G144" s="16" t="n"/>
      <c r="H144" s="17">
        <f>IF(A144="","",E144+SUMIF(Movimentações!$C$5:$C$504,A144,Movimentações!$E$5:$E$504)-SUMIF(Movimentações!$C$5:$C$504,A144,Movimentações!$F$5:$F$504))</f>
        <v/>
      </c>
      <c r="I144" s="18">
        <f>IF(A144="","",H144*G144)</f>
        <v/>
      </c>
      <c r="J144" s="16" t="n"/>
      <c r="K144" s="19">
        <f>IFERROR((J144-G144)/J144,0)</f>
        <v/>
      </c>
      <c r="L144" s="17">
        <f>IF(A144="","",IF(H144&lt;=F144,"BAIXO","OK"))</f>
        <v/>
      </c>
      <c r="M144" s="15" t="n"/>
    </row>
    <row r="145">
      <c r="A145" s="15" t="n"/>
      <c r="B145" s="15" t="n"/>
      <c r="C145" s="15" t="n"/>
      <c r="D145" s="15" t="n"/>
      <c r="E145" s="15" t="n"/>
      <c r="F145" s="15" t="n"/>
      <c r="G145" s="16" t="n"/>
      <c r="H145" s="17">
        <f>IF(A145="","",E145+SUMIF(Movimentações!$C$5:$C$504,A145,Movimentações!$E$5:$E$504)-SUMIF(Movimentações!$C$5:$C$504,A145,Movimentações!$F$5:$F$504))</f>
        <v/>
      </c>
      <c r="I145" s="18">
        <f>IF(A145="","",H145*G145)</f>
        <v/>
      </c>
      <c r="J145" s="16" t="n"/>
      <c r="K145" s="19">
        <f>IFERROR((J145-G145)/J145,0)</f>
        <v/>
      </c>
      <c r="L145" s="17">
        <f>IF(A145="","",IF(H145&lt;=F145,"BAIXO","OK"))</f>
        <v/>
      </c>
      <c r="M145" s="15" t="n"/>
    </row>
    <row r="146">
      <c r="A146" s="15" t="n"/>
      <c r="B146" s="15" t="n"/>
      <c r="C146" s="15" t="n"/>
      <c r="D146" s="15" t="n"/>
      <c r="E146" s="15" t="n"/>
      <c r="F146" s="15" t="n"/>
      <c r="G146" s="16" t="n"/>
      <c r="H146" s="17">
        <f>IF(A146="","",E146+SUMIF(Movimentações!$C$5:$C$504,A146,Movimentações!$E$5:$E$504)-SUMIF(Movimentações!$C$5:$C$504,A146,Movimentações!$F$5:$F$504))</f>
        <v/>
      </c>
      <c r="I146" s="18">
        <f>IF(A146="","",H146*G146)</f>
        <v/>
      </c>
      <c r="J146" s="16" t="n"/>
      <c r="K146" s="19">
        <f>IFERROR((J146-G146)/J146,0)</f>
        <v/>
      </c>
      <c r="L146" s="17">
        <f>IF(A146="","",IF(H146&lt;=F146,"BAIXO","OK"))</f>
        <v/>
      </c>
      <c r="M146" s="15" t="n"/>
    </row>
    <row r="147">
      <c r="A147" s="15" t="n"/>
      <c r="B147" s="15" t="n"/>
      <c r="C147" s="15" t="n"/>
      <c r="D147" s="15" t="n"/>
      <c r="E147" s="15" t="n"/>
      <c r="F147" s="15" t="n"/>
      <c r="G147" s="16" t="n"/>
      <c r="H147" s="17">
        <f>IF(A147="","",E147+SUMIF(Movimentações!$C$5:$C$504,A147,Movimentações!$E$5:$E$504)-SUMIF(Movimentações!$C$5:$C$504,A147,Movimentações!$F$5:$F$504))</f>
        <v/>
      </c>
      <c r="I147" s="18">
        <f>IF(A147="","",H147*G147)</f>
        <v/>
      </c>
      <c r="J147" s="16" t="n"/>
      <c r="K147" s="19">
        <f>IFERROR((J147-G147)/J147,0)</f>
        <v/>
      </c>
      <c r="L147" s="17">
        <f>IF(A147="","",IF(H147&lt;=F147,"BAIXO","OK"))</f>
        <v/>
      </c>
      <c r="M147" s="15" t="n"/>
    </row>
    <row r="148">
      <c r="A148" s="15" t="n"/>
      <c r="B148" s="15" t="n"/>
      <c r="C148" s="15" t="n"/>
      <c r="D148" s="15" t="n"/>
      <c r="E148" s="15" t="n"/>
      <c r="F148" s="15" t="n"/>
      <c r="G148" s="16" t="n"/>
      <c r="H148" s="17">
        <f>IF(A148="","",E148+SUMIF(Movimentações!$C$5:$C$504,A148,Movimentações!$E$5:$E$504)-SUMIF(Movimentações!$C$5:$C$504,A148,Movimentações!$F$5:$F$504))</f>
        <v/>
      </c>
      <c r="I148" s="18">
        <f>IF(A148="","",H148*G148)</f>
        <v/>
      </c>
      <c r="J148" s="16" t="n"/>
      <c r="K148" s="19">
        <f>IFERROR((J148-G148)/J148,0)</f>
        <v/>
      </c>
      <c r="L148" s="17">
        <f>IF(A148="","",IF(H148&lt;=F148,"BAIXO","OK"))</f>
        <v/>
      </c>
      <c r="M148" s="15" t="n"/>
    </row>
    <row r="149">
      <c r="A149" s="15" t="n"/>
      <c r="B149" s="15" t="n"/>
      <c r="C149" s="15" t="n"/>
      <c r="D149" s="15" t="n"/>
      <c r="E149" s="15" t="n"/>
      <c r="F149" s="15" t="n"/>
      <c r="G149" s="16" t="n"/>
      <c r="H149" s="17">
        <f>IF(A149="","",E149+SUMIF(Movimentações!$C$5:$C$504,A149,Movimentações!$E$5:$E$504)-SUMIF(Movimentações!$C$5:$C$504,A149,Movimentações!$F$5:$F$504))</f>
        <v/>
      </c>
      <c r="I149" s="18">
        <f>IF(A149="","",H149*G149)</f>
        <v/>
      </c>
      <c r="J149" s="16" t="n"/>
      <c r="K149" s="19">
        <f>IFERROR((J149-G149)/J149,0)</f>
        <v/>
      </c>
      <c r="L149" s="17">
        <f>IF(A149="","",IF(H149&lt;=F149,"BAIXO","OK"))</f>
        <v/>
      </c>
      <c r="M149" s="15" t="n"/>
    </row>
    <row r="150">
      <c r="A150" s="15" t="n"/>
      <c r="B150" s="15" t="n"/>
      <c r="C150" s="15" t="n"/>
      <c r="D150" s="15" t="n"/>
      <c r="E150" s="15" t="n"/>
      <c r="F150" s="15" t="n"/>
      <c r="G150" s="16" t="n"/>
      <c r="H150" s="17">
        <f>IF(A150="","",E150+SUMIF(Movimentações!$C$5:$C$504,A150,Movimentações!$E$5:$E$504)-SUMIF(Movimentações!$C$5:$C$504,A150,Movimentações!$F$5:$F$504))</f>
        <v/>
      </c>
      <c r="I150" s="18">
        <f>IF(A150="","",H150*G150)</f>
        <v/>
      </c>
      <c r="J150" s="16" t="n"/>
      <c r="K150" s="19">
        <f>IFERROR((J150-G150)/J150,0)</f>
        <v/>
      </c>
      <c r="L150" s="17">
        <f>IF(A150="","",IF(H150&lt;=F150,"BAIXO","OK"))</f>
        <v/>
      </c>
      <c r="M150" s="15" t="n"/>
    </row>
    <row r="151">
      <c r="A151" s="15" t="n"/>
      <c r="B151" s="15" t="n"/>
      <c r="C151" s="15" t="n"/>
      <c r="D151" s="15" t="n"/>
      <c r="E151" s="15" t="n"/>
      <c r="F151" s="15" t="n"/>
      <c r="G151" s="16" t="n"/>
      <c r="H151" s="17">
        <f>IF(A151="","",E151+SUMIF(Movimentações!$C$5:$C$504,A151,Movimentações!$E$5:$E$504)-SUMIF(Movimentações!$C$5:$C$504,A151,Movimentações!$F$5:$F$504))</f>
        <v/>
      </c>
      <c r="I151" s="18">
        <f>IF(A151="","",H151*G151)</f>
        <v/>
      </c>
      <c r="J151" s="16" t="n"/>
      <c r="K151" s="19">
        <f>IFERROR((J151-G151)/J151,0)</f>
        <v/>
      </c>
      <c r="L151" s="17">
        <f>IF(A151="","",IF(H151&lt;=F151,"BAIXO","OK"))</f>
        <v/>
      </c>
      <c r="M151" s="15" t="n"/>
    </row>
    <row r="152">
      <c r="A152" s="15" t="n"/>
      <c r="B152" s="15" t="n"/>
      <c r="C152" s="15" t="n"/>
      <c r="D152" s="15" t="n"/>
      <c r="E152" s="15" t="n"/>
      <c r="F152" s="15" t="n"/>
      <c r="G152" s="16" t="n"/>
      <c r="H152" s="17">
        <f>IF(A152="","",E152+SUMIF(Movimentações!$C$5:$C$504,A152,Movimentações!$E$5:$E$504)-SUMIF(Movimentações!$C$5:$C$504,A152,Movimentações!$F$5:$F$504))</f>
        <v/>
      </c>
      <c r="I152" s="18">
        <f>IF(A152="","",H152*G152)</f>
        <v/>
      </c>
      <c r="J152" s="16" t="n"/>
      <c r="K152" s="19">
        <f>IFERROR((J152-G152)/J152,0)</f>
        <v/>
      </c>
      <c r="L152" s="17">
        <f>IF(A152="","",IF(H152&lt;=F152,"BAIXO","OK"))</f>
        <v/>
      </c>
      <c r="M152" s="15" t="n"/>
    </row>
    <row r="153">
      <c r="A153" s="15" t="n"/>
      <c r="B153" s="15" t="n"/>
      <c r="C153" s="15" t="n"/>
      <c r="D153" s="15" t="n"/>
      <c r="E153" s="15" t="n"/>
      <c r="F153" s="15" t="n"/>
      <c r="G153" s="16" t="n"/>
      <c r="H153" s="17">
        <f>IF(A153="","",E153+SUMIF(Movimentações!$C$5:$C$504,A153,Movimentações!$E$5:$E$504)-SUMIF(Movimentações!$C$5:$C$504,A153,Movimentações!$F$5:$F$504))</f>
        <v/>
      </c>
      <c r="I153" s="18">
        <f>IF(A153="","",H153*G153)</f>
        <v/>
      </c>
      <c r="J153" s="16" t="n"/>
      <c r="K153" s="19">
        <f>IFERROR((J153-G153)/J153,0)</f>
        <v/>
      </c>
      <c r="L153" s="17">
        <f>IF(A153="","",IF(H153&lt;=F153,"BAIXO","OK"))</f>
        <v/>
      </c>
      <c r="M153" s="15" t="n"/>
    </row>
    <row r="154">
      <c r="A154" s="15" t="n"/>
      <c r="B154" s="15" t="n"/>
      <c r="C154" s="15" t="n"/>
      <c r="D154" s="15" t="n"/>
      <c r="E154" s="15" t="n"/>
      <c r="F154" s="15" t="n"/>
      <c r="G154" s="16" t="n"/>
      <c r="H154" s="17">
        <f>IF(A154="","",E154+SUMIF(Movimentações!$C$5:$C$504,A154,Movimentações!$E$5:$E$504)-SUMIF(Movimentações!$C$5:$C$504,A154,Movimentações!$F$5:$F$504))</f>
        <v/>
      </c>
      <c r="I154" s="18">
        <f>IF(A154="","",H154*G154)</f>
        <v/>
      </c>
      <c r="J154" s="16" t="n"/>
      <c r="K154" s="19">
        <f>IFERROR((J154-G154)/J154,0)</f>
        <v/>
      </c>
      <c r="L154" s="17">
        <f>IF(A154="","",IF(H154&lt;=F154,"BAIXO","OK"))</f>
        <v/>
      </c>
      <c r="M154" s="15" t="n"/>
    </row>
    <row r="155">
      <c r="A155" s="15" t="n"/>
      <c r="B155" s="15" t="n"/>
      <c r="C155" s="15" t="n"/>
      <c r="D155" s="15" t="n"/>
      <c r="E155" s="15" t="n"/>
      <c r="F155" s="15" t="n"/>
      <c r="G155" s="16" t="n"/>
      <c r="H155" s="17">
        <f>IF(A155="","",E155+SUMIF(Movimentações!$C$5:$C$504,A155,Movimentações!$E$5:$E$504)-SUMIF(Movimentações!$C$5:$C$504,A155,Movimentações!$F$5:$F$504))</f>
        <v/>
      </c>
      <c r="I155" s="18">
        <f>IF(A155="","",H155*G155)</f>
        <v/>
      </c>
      <c r="J155" s="16" t="n"/>
      <c r="K155" s="19">
        <f>IFERROR((J155-G155)/J155,0)</f>
        <v/>
      </c>
      <c r="L155" s="17">
        <f>IF(A155="","",IF(H155&lt;=F155,"BAIXO","OK"))</f>
        <v/>
      </c>
      <c r="M155" s="15" t="n"/>
    </row>
    <row r="156">
      <c r="A156" s="15" t="n"/>
      <c r="B156" s="15" t="n"/>
      <c r="C156" s="15" t="n"/>
      <c r="D156" s="15" t="n"/>
      <c r="E156" s="15" t="n"/>
      <c r="F156" s="15" t="n"/>
      <c r="G156" s="16" t="n"/>
      <c r="H156" s="17">
        <f>IF(A156="","",E156+SUMIF(Movimentações!$C$5:$C$504,A156,Movimentações!$E$5:$E$504)-SUMIF(Movimentações!$C$5:$C$504,A156,Movimentações!$F$5:$F$504))</f>
        <v/>
      </c>
      <c r="I156" s="18">
        <f>IF(A156="","",H156*G156)</f>
        <v/>
      </c>
      <c r="J156" s="16" t="n"/>
      <c r="K156" s="19">
        <f>IFERROR((J156-G156)/J156,0)</f>
        <v/>
      </c>
      <c r="L156" s="17">
        <f>IF(A156="","",IF(H156&lt;=F156,"BAIXO","OK"))</f>
        <v/>
      </c>
      <c r="M156" s="15" t="n"/>
    </row>
    <row r="157">
      <c r="A157" s="15" t="n"/>
      <c r="B157" s="15" t="n"/>
      <c r="C157" s="15" t="n"/>
      <c r="D157" s="15" t="n"/>
      <c r="E157" s="15" t="n"/>
      <c r="F157" s="15" t="n"/>
      <c r="G157" s="16" t="n"/>
      <c r="H157" s="17">
        <f>IF(A157="","",E157+SUMIF(Movimentações!$C$5:$C$504,A157,Movimentações!$E$5:$E$504)-SUMIF(Movimentações!$C$5:$C$504,A157,Movimentações!$F$5:$F$504))</f>
        <v/>
      </c>
      <c r="I157" s="18">
        <f>IF(A157="","",H157*G157)</f>
        <v/>
      </c>
      <c r="J157" s="16" t="n"/>
      <c r="K157" s="19">
        <f>IFERROR((J157-G157)/J157,0)</f>
        <v/>
      </c>
      <c r="L157" s="17">
        <f>IF(A157="","",IF(H157&lt;=F157,"BAIXO","OK"))</f>
        <v/>
      </c>
      <c r="M157" s="15" t="n"/>
    </row>
    <row r="158">
      <c r="A158" s="15" t="n"/>
      <c r="B158" s="15" t="n"/>
      <c r="C158" s="15" t="n"/>
      <c r="D158" s="15" t="n"/>
      <c r="E158" s="15" t="n"/>
      <c r="F158" s="15" t="n"/>
      <c r="G158" s="16" t="n"/>
      <c r="H158" s="17">
        <f>IF(A158="","",E158+SUMIF(Movimentações!$C$5:$C$504,A158,Movimentações!$E$5:$E$504)-SUMIF(Movimentações!$C$5:$C$504,A158,Movimentações!$F$5:$F$504))</f>
        <v/>
      </c>
      <c r="I158" s="18">
        <f>IF(A158="","",H158*G158)</f>
        <v/>
      </c>
      <c r="J158" s="16" t="n"/>
      <c r="K158" s="19">
        <f>IFERROR((J158-G158)/J158,0)</f>
        <v/>
      </c>
      <c r="L158" s="17">
        <f>IF(A158="","",IF(H158&lt;=F158,"BAIXO","OK"))</f>
        <v/>
      </c>
      <c r="M158" s="15" t="n"/>
    </row>
    <row r="159">
      <c r="A159" s="15" t="n"/>
      <c r="B159" s="15" t="n"/>
      <c r="C159" s="15" t="n"/>
      <c r="D159" s="15" t="n"/>
      <c r="E159" s="15" t="n"/>
      <c r="F159" s="15" t="n"/>
      <c r="G159" s="16" t="n"/>
      <c r="H159" s="17">
        <f>IF(A159="","",E159+SUMIF(Movimentações!$C$5:$C$504,A159,Movimentações!$E$5:$E$504)-SUMIF(Movimentações!$C$5:$C$504,A159,Movimentações!$F$5:$F$504))</f>
        <v/>
      </c>
      <c r="I159" s="18">
        <f>IF(A159="","",H159*G159)</f>
        <v/>
      </c>
      <c r="J159" s="16" t="n"/>
      <c r="K159" s="19">
        <f>IFERROR((J159-G159)/J159,0)</f>
        <v/>
      </c>
      <c r="L159" s="17">
        <f>IF(A159="","",IF(H159&lt;=F159,"BAIXO","OK"))</f>
        <v/>
      </c>
      <c r="M159" s="15" t="n"/>
    </row>
    <row r="160">
      <c r="A160" s="15" t="n"/>
      <c r="B160" s="15" t="n"/>
      <c r="C160" s="15" t="n"/>
      <c r="D160" s="15" t="n"/>
      <c r="E160" s="15" t="n"/>
      <c r="F160" s="15" t="n"/>
      <c r="G160" s="16" t="n"/>
      <c r="H160" s="17">
        <f>IF(A160="","",E160+SUMIF(Movimentações!$C$5:$C$504,A160,Movimentações!$E$5:$E$504)-SUMIF(Movimentações!$C$5:$C$504,A160,Movimentações!$F$5:$F$504))</f>
        <v/>
      </c>
      <c r="I160" s="18">
        <f>IF(A160="","",H160*G160)</f>
        <v/>
      </c>
      <c r="J160" s="16" t="n"/>
      <c r="K160" s="19">
        <f>IFERROR((J160-G160)/J160,0)</f>
        <v/>
      </c>
      <c r="L160" s="17">
        <f>IF(A160="","",IF(H160&lt;=F160,"BAIXO","OK"))</f>
        <v/>
      </c>
      <c r="M160" s="15" t="n"/>
    </row>
    <row r="161">
      <c r="A161" s="15" t="n"/>
      <c r="B161" s="15" t="n"/>
      <c r="C161" s="15" t="n"/>
      <c r="D161" s="15" t="n"/>
      <c r="E161" s="15" t="n"/>
      <c r="F161" s="15" t="n"/>
      <c r="G161" s="16" t="n"/>
      <c r="H161" s="17">
        <f>IF(A161="","",E161+SUMIF(Movimentações!$C$5:$C$504,A161,Movimentações!$E$5:$E$504)-SUMIF(Movimentações!$C$5:$C$504,A161,Movimentações!$F$5:$F$504))</f>
        <v/>
      </c>
      <c r="I161" s="18">
        <f>IF(A161="","",H161*G161)</f>
        <v/>
      </c>
      <c r="J161" s="16" t="n"/>
      <c r="K161" s="19">
        <f>IFERROR((J161-G161)/J161,0)</f>
        <v/>
      </c>
      <c r="L161" s="17">
        <f>IF(A161="","",IF(H161&lt;=F161,"BAIXO","OK"))</f>
        <v/>
      </c>
      <c r="M161" s="15" t="n"/>
    </row>
    <row r="162">
      <c r="A162" s="15" t="n"/>
      <c r="B162" s="15" t="n"/>
      <c r="C162" s="15" t="n"/>
      <c r="D162" s="15" t="n"/>
      <c r="E162" s="15" t="n"/>
      <c r="F162" s="15" t="n"/>
      <c r="G162" s="16" t="n"/>
      <c r="H162" s="17">
        <f>IF(A162="","",E162+SUMIF(Movimentações!$C$5:$C$504,A162,Movimentações!$E$5:$E$504)-SUMIF(Movimentações!$C$5:$C$504,A162,Movimentações!$F$5:$F$504))</f>
        <v/>
      </c>
      <c r="I162" s="18">
        <f>IF(A162="","",H162*G162)</f>
        <v/>
      </c>
      <c r="J162" s="16" t="n"/>
      <c r="K162" s="19">
        <f>IFERROR((J162-G162)/J162,0)</f>
        <v/>
      </c>
      <c r="L162" s="17">
        <f>IF(A162="","",IF(H162&lt;=F162,"BAIXO","OK"))</f>
        <v/>
      </c>
      <c r="M162" s="15" t="n"/>
    </row>
    <row r="163">
      <c r="A163" s="15" t="n"/>
      <c r="B163" s="15" t="n"/>
      <c r="C163" s="15" t="n"/>
      <c r="D163" s="15" t="n"/>
      <c r="E163" s="15" t="n"/>
      <c r="F163" s="15" t="n"/>
      <c r="G163" s="16" t="n"/>
      <c r="H163" s="17">
        <f>IF(A163="","",E163+SUMIF(Movimentações!$C$5:$C$504,A163,Movimentações!$E$5:$E$504)-SUMIF(Movimentações!$C$5:$C$504,A163,Movimentações!$F$5:$F$504))</f>
        <v/>
      </c>
      <c r="I163" s="18">
        <f>IF(A163="","",H163*G163)</f>
        <v/>
      </c>
      <c r="J163" s="16" t="n"/>
      <c r="K163" s="19">
        <f>IFERROR((J163-G163)/J163,0)</f>
        <v/>
      </c>
      <c r="L163" s="17">
        <f>IF(A163="","",IF(H163&lt;=F163,"BAIXO","OK"))</f>
        <v/>
      </c>
      <c r="M163" s="15" t="n"/>
    </row>
    <row r="164">
      <c r="A164" s="15" t="n"/>
      <c r="B164" s="15" t="n"/>
      <c r="C164" s="15" t="n"/>
      <c r="D164" s="15" t="n"/>
      <c r="E164" s="15" t="n"/>
      <c r="F164" s="15" t="n"/>
      <c r="G164" s="16" t="n"/>
      <c r="H164" s="17">
        <f>IF(A164="","",E164+SUMIF(Movimentações!$C$5:$C$504,A164,Movimentações!$E$5:$E$504)-SUMIF(Movimentações!$C$5:$C$504,A164,Movimentações!$F$5:$F$504))</f>
        <v/>
      </c>
      <c r="I164" s="18">
        <f>IF(A164="","",H164*G164)</f>
        <v/>
      </c>
      <c r="J164" s="16" t="n"/>
      <c r="K164" s="19">
        <f>IFERROR((J164-G164)/J164,0)</f>
        <v/>
      </c>
      <c r="L164" s="17">
        <f>IF(A164="","",IF(H164&lt;=F164,"BAIXO","OK"))</f>
        <v/>
      </c>
      <c r="M164" s="15" t="n"/>
    </row>
    <row r="165">
      <c r="A165" s="15" t="n"/>
      <c r="B165" s="15" t="n"/>
      <c r="C165" s="15" t="n"/>
      <c r="D165" s="15" t="n"/>
      <c r="E165" s="15" t="n"/>
      <c r="F165" s="15" t="n"/>
      <c r="G165" s="16" t="n"/>
      <c r="H165" s="17">
        <f>IF(A165="","",E165+SUMIF(Movimentações!$C$5:$C$504,A165,Movimentações!$E$5:$E$504)-SUMIF(Movimentações!$C$5:$C$504,A165,Movimentações!$F$5:$F$504))</f>
        <v/>
      </c>
      <c r="I165" s="18">
        <f>IF(A165="","",H165*G165)</f>
        <v/>
      </c>
      <c r="J165" s="16" t="n"/>
      <c r="K165" s="19">
        <f>IFERROR((J165-G165)/J165,0)</f>
        <v/>
      </c>
      <c r="L165" s="17">
        <f>IF(A165="","",IF(H165&lt;=F165,"BAIXO","OK"))</f>
        <v/>
      </c>
      <c r="M165" s="15" t="n"/>
    </row>
    <row r="166">
      <c r="A166" s="15" t="n"/>
      <c r="B166" s="15" t="n"/>
      <c r="C166" s="15" t="n"/>
      <c r="D166" s="15" t="n"/>
      <c r="E166" s="15" t="n"/>
      <c r="F166" s="15" t="n"/>
      <c r="G166" s="16" t="n"/>
      <c r="H166" s="17">
        <f>IF(A166="","",E166+SUMIF(Movimentações!$C$5:$C$504,A166,Movimentações!$E$5:$E$504)-SUMIF(Movimentações!$C$5:$C$504,A166,Movimentações!$F$5:$F$504))</f>
        <v/>
      </c>
      <c r="I166" s="18">
        <f>IF(A166="","",H166*G166)</f>
        <v/>
      </c>
      <c r="J166" s="16" t="n"/>
      <c r="K166" s="19">
        <f>IFERROR((J166-G166)/J166,0)</f>
        <v/>
      </c>
      <c r="L166" s="17">
        <f>IF(A166="","",IF(H166&lt;=F166,"BAIXO","OK"))</f>
        <v/>
      </c>
      <c r="M166" s="15" t="n"/>
    </row>
    <row r="167">
      <c r="A167" s="15" t="n"/>
      <c r="B167" s="15" t="n"/>
      <c r="C167" s="15" t="n"/>
      <c r="D167" s="15" t="n"/>
      <c r="E167" s="15" t="n"/>
      <c r="F167" s="15" t="n"/>
      <c r="G167" s="16" t="n"/>
      <c r="H167" s="17">
        <f>IF(A167="","",E167+SUMIF(Movimentações!$C$5:$C$504,A167,Movimentações!$E$5:$E$504)-SUMIF(Movimentações!$C$5:$C$504,A167,Movimentações!$F$5:$F$504))</f>
        <v/>
      </c>
      <c r="I167" s="18">
        <f>IF(A167="","",H167*G167)</f>
        <v/>
      </c>
      <c r="J167" s="16" t="n"/>
      <c r="K167" s="19">
        <f>IFERROR((J167-G167)/J167,0)</f>
        <v/>
      </c>
      <c r="L167" s="17">
        <f>IF(A167="","",IF(H167&lt;=F167,"BAIXO","OK"))</f>
        <v/>
      </c>
      <c r="M167" s="15" t="n"/>
    </row>
    <row r="168">
      <c r="A168" s="15" t="n"/>
      <c r="B168" s="15" t="n"/>
      <c r="C168" s="15" t="n"/>
      <c r="D168" s="15" t="n"/>
      <c r="E168" s="15" t="n"/>
      <c r="F168" s="15" t="n"/>
      <c r="G168" s="16" t="n"/>
      <c r="H168" s="17">
        <f>IF(A168="","",E168+SUMIF(Movimentações!$C$5:$C$504,A168,Movimentações!$E$5:$E$504)-SUMIF(Movimentações!$C$5:$C$504,A168,Movimentações!$F$5:$F$504))</f>
        <v/>
      </c>
      <c r="I168" s="18">
        <f>IF(A168="","",H168*G168)</f>
        <v/>
      </c>
      <c r="J168" s="16" t="n"/>
      <c r="K168" s="19">
        <f>IFERROR((J168-G168)/J168,0)</f>
        <v/>
      </c>
      <c r="L168" s="17">
        <f>IF(A168="","",IF(H168&lt;=F168,"BAIXO","OK"))</f>
        <v/>
      </c>
      <c r="M168" s="15" t="n"/>
    </row>
    <row r="169">
      <c r="A169" s="15" t="n"/>
      <c r="B169" s="15" t="n"/>
      <c r="C169" s="15" t="n"/>
      <c r="D169" s="15" t="n"/>
      <c r="E169" s="15" t="n"/>
      <c r="F169" s="15" t="n"/>
      <c r="G169" s="16" t="n"/>
      <c r="H169" s="17">
        <f>IF(A169="","",E169+SUMIF(Movimentações!$C$5:$C$504,A169,Movimentações!$E$5:$E$504)-SUMIF(Movimentações!$C$5:$C$504,A169,Movimentações!$F$5:$F$504))</f>
        <v/>
      </c>
      <c r="I169" s="18">
        <f>IF(A169="","",H169*G169)</f>
        <v/>
      </c>
      <c r="J169" s="16" t="n"/>
      <c r="K169" s="19">
        <f>IFERROR((J169-G169)/J169,0)</f>
        <v/>
      </c>
      <c r="L169" s="17">
        <f>IF(A169="","",IF(H169&lt;=F169,"BAIXO","OK"))</f>
        <v/>
      </c>
      <c r="M169" s="15" t="n"/>
    </row>
    <row r="170">
      <c r="A170" s="15" t="n"/>
      <c r="B170" s="15" t="n"/>
      <c r="C170" s="15" t="n"/>
      <c r="D170" s="15" t="n"/>
      <c r="E170" s="15" t="n"/>
      <c r="F170" s="15" t="n"/>
      <c r="G170" s="16" t="n"/>
      <c r="H170" s="17">
        <f>IF(A170="","",E170+SUMIF(Movimentações!$C$5:$C$504,A170,Movimentações!$E$5:$E$504)-SUMIF(Movimentações!$C$5:$C$504,A170,Movimentações!$F$5:$F$504))</f>
        <v/>
      </c>
      <c r="I170" s="18">
        <f>IF(A170="","",H170*G170)</f>
        <v/>
      </c>
      <c r="J170" s="16" t="n"/>
      <c r="K170" s="19">
        <f>IFERROR((J170-G170)/J170,0)</f>
        <v/>
      </c>
      <c r="L170" s="17">
        <f>IF(A170="","",IF(H170&lt;=F170,"BAIXO","OK"))</f>
        <v/>
      </c>
      <c r="M170" s="15" t="n"/>
    </row>
    <row r="171">
      <c r="A171" s="15" t="n"/>
      <c r="B171" s="15" t="n"/>
      <c r="C171" s="15" t="n"/>
      <c r="D171" s="15" t="n"/>
      <c r="E171" s="15" t="n"/>
      <c r="F171" s="15" t="n"/>
      <c r="G171" s="16" t="n"/>
      <c r="H171" s="17">
        <f>IF(A171="","",E171+SUMIF(Movimentações!$C$5:$C$504,A171,Movimentações!$E$5:$E$504)-SUMIF(Movimentações!$C$5:$C$504,A171,Movimentações!$F$5:$F$504))</f>
        <v/>
      </c>
      <c r="I171" s="18">
        <f>IF(A171="","",H171*G171)</f>
        <v/>
      </c>
      <c r="J171" s="16" t="n"/>
      <c r="K171" s="19">
        <f>IFERROR((J171-G171)/J171,0)</f>
        <v/>
      </c>
      <c r="L171" s="17">
        <f>IF(A171="","",IF(H171&lt;=F171,"BAIXO","OK"))</f>
        <v/>
      </c>
      <c r="M171" s="15" t="n"/>
    </row>
    <row r="172">
      <c r="A172" s="15" t="n"/>
      <c r="B172" s="15" t="n"/>
      <c r="C172" s="15" t="n"/>
      <c r="D172" s="15" t="n"/>
      <c r="E172" s="15" t="n"/>
      <c r="F172" s="15" t="n"/>
      <c r="G172" s="16" t="n"/>
      <c r="H172" s="17">
        <f>IF(A172="","",E172+SUMIF(Movimentações!$C$5:$C$504,A172,Movimentações!$E$5:$E$504)-SUMIF(Movimentações!$C$5:$C$504,A172,Movimentações!$F$5:$F$504))</f>
        <v/>
      </c>
      <c r="I172" s="18">
        <f>IF(A172="","",H172*G172)</f>
        <v/>
      </c>
      <c r="J172" s="16" t="n"/>
      <c r="K172" s="19">
        <f>IFERROR((J172-G172)/J172,0)</f>
        <v/>
      </c>
      <c r="L172" s="17">
        <f>IF(A172="","",IF(H172&lt;=F172,"BAIXO","OK"))</f>
        <v/>
      </c>
      <c r="M172" s="15" t="n"/>
    </row>
    <row r="173">
      <c r="A173" s="15" t="n"/>
      <c r="B173" s="15" t="n"/>
      <c r="C173" s="15" t="n"/>
      <c r="D173" s="15" t="n"/>
      <c r="E173" s="15" t="n"/>
      <c r="F173" s="15" t="n"/>
      <c r="G173" s="16" t="n"/>
      <c r="H173" s="17">
        <f>IF(A173="","",E173+SUMIF(Movimentações!$C$5:$C$504,A173,Movimentações!$E$5:$E$504)-SUMIF(Movimentações!$C$5:$C$504,A173,Movimentações!$F$5:$F$504))</f>
        <v/>
      </c>
      <c r="I173" s="18">
        <f>IF(A173="","",H173*G173)</f>
        <v/>
      </c>
      <c r="J173" s="16" t="n"/>
      <c r="K173" s="19">
        <f>IFERROR((J173-G173)/J173,0)</f>
        <v/>
      </c>
      <c r="L173" s="17">
        <f>IF(A173="","",IF(H173&lt;=F173,"BAIXO","OK"))</f>
        <v/>
      </c>
      <c r="M173" s="15" t="n"/>
    </row>
    <row r="174">
      <c r="A174" s="15" t="n"/>
      <c r="B174" s="15" t="n"/>
      <c r="C174" s="15" t="n"/>
      <c r="D174" s="15" t="n"/>
      <c r="E174" s="15" t="n"/>
      <c r="F174" s="15" t="n"/>
      <c r="G174" s="16" t="n"/>
      <c r="H174" s="17">
        <f>IF(A174="","",E174+SUMIF(Movimentações!$C$5:$C$504,A174,Movimentações!$E$5:$E$504)-SUMIF(Movimentações!$C$5:$C$504,A174,Movimentações!$F$5:$F$504))</f>
        <v/>
      </c>
      <c r="I174" s="18">
        <f>IF(A174="","",H174*G174)</f>
        <v/>
      </c>
      <c r="J174" s="16" t="n"/>
      <c r="K174" s="19">
        <f>IFERROR((J174-G174)/J174,0)</f>
        <v/>
      </c>
      <c r="L174" s="17">
        <f>IF(A174="","",IF(H174&lt;=F174,"BAIXO","OK"))</f>
        <v/>
      </c>
      <c r="M174" s="15" t="n"/>
    </row>
    <row r="175">
      <c r="A175" s="15" t="n"/>
      <c r="B175" s="15" t="n"/>
      <c r="C175" s="15" t="n"/>
      <c r="D175" s="15" t="n"/>
      <c r="E175" s="15" t="n"/>
      <c r="F175" s="15" t="n"/>
      <c r="G175" s="16" t="n"/>
      <c r="H175" s="17">
        <f>IF(A175="","",E175+SUMIF(Movimentações!$C$5:$C$504,A175,Movimentações!$E$5:$E$504)-SUMIF(Movimentações!$C$5:$C$504,A175,Movimentações!$F$5:$F$504))</f>
        <v/>
      </c>
      <c r="I175" s="18">
        <f>IF(A175="","",H175*G175)</f>
        <v/>
      </c>
      <c r="J175" s="16" t="n"/>
      <c r="K175" s="19">
        <f>IFERROR((J175-G175)/J175,0)</f>
        <v/>
      </c>
      <c r="L175" s="17">
        <f>IF(A175="","",IF(H175&lt;=F175,"BAIXO","OK"))</f>
        <v/>
      </c>
      <c r="M175" s="15" t="n"/>
    </row>
    <row r="176">
      <c r="A176" s="15" t="n"/>
      <c r="B176" s="15" t="n"/>
      <c r="C176" s="15" t="n"/>
      <c r="D176" s="15" t="n"/>
      <c r="E176" s="15" t="n"/>
      <c r="F176" s="15" t="n"/>
      <c r="G176" s="16" t="n"/>
      <c r="H176" s="17">
        <f>IF(A176="","",E176+SUMIF(Movimentações!$C$5:$C$504,A176,Movimentações!$E$5:$E$504)-SUMIF(Movimentações!$C$5:$C$504,A176,Movimentações!$F$5:$F$504))</f>
        <v/>
      </c>
      <c r="I176" s="18">
        <f>IF(A176="","",H176*G176)</f>
        <v/>
      </c>
      <c r="J176" s="16" t="n"/>
      <c r="K176" s="19">
        <f>IFERROR((J176-G176)/J176,0)</f>
        <v/>
      </c>
      <c r="L176" s="17">
        <f>IF(A176="","",IF(H176&lt;=F176,"BAIXO","OK"))</f>
        <v/>
      </c>
      <c r="M176" s="15" t="n"/>
    </row>
    <row r="177">
      <c r="A177" s="15" t="n"/>
      <c r="B177" s="15" t="n"/>
      <c r="C177" s="15" t="n"/>
      <c r="D177" s="15" t="n"/>
      <c r="E177" s="15" t="n"/>
      <c r="F177" s="15" t="n"/>
      <c r="G177" s="16" t="n"/>
      <c r="H177" s="17">
        <f>IF(A177="","",E177+SUMIF(Movimentações!$C$5:$C$504,A177,Movimentações!$E$5:$E$504)-SUMIF(Movimentações!$C$5:$C$504,A177,Movimentações!$F$5:$F$504))</f>
        <v/>
      </c>
      <c r="I177" s="18">
        <f>IF(A177="","",H177*G177)</f>
        <v/>
      </c>
      <c r="J177" s="16" t="n"/>
      <c r="K177" s="19">
        <f>IFERROR((J177-G177)/J177,0)</f>
        <v/>
      </c>
      <c r="L177" s="17">
        <f>IF(A177="","",IF(H177&lt;=F177,"BAIXO","OK"))</f>
        <v/>
      </c>
      <c r="M177" s="15" t="n"/>
    </row>
    <row r="178">
      <c r="A178" s="15" t="n"/>
      <c r="B178" s="15" t="n"/>
      <c r="C178" s="15" t="n"/>
      <c r="D178" s="15" t="n"/>
      <c r="E178" s="15" t="n"/>
      <c r="F178" s="15" t="n"/>
      <c r="G178" s="16" t="n"/>
      <c r="H178" s="17">
        <f>IF(A178="","",E178+SUMIF(Movimentações!$C$5:$C$504,A178,Movimentações!$E$5:$E$504)-SUMIF(Movimentações!$C$5:$C$504,A178,Movimentações!$F$5:$F$504))</f>
        <v/>
      </c>
      <c r="I178" s="18">
        <f>IF(A178="","",H178*G178)</f>
        <v/>
      </c>
      <c r="J178" s="16" t="n"/>
      <c r="K178" s="19">
        <f>IFERROR((J178-G178)/J178,0)</f>
        <v/>
      </c>
      <c r="L178" s="17">
        <f>IF(A178="","",IF(H178&lt;=F178,"BAIXO","OK"))</f>
        <v/>
      </c>
      <c r="M178" s="15" t="n"/>
    </row>
    <row r="179">
      <c r="A179" s="15" t="n"/>
      <c r="B179" s="15" t="n"/>
      <c r="C179" s="15" t="n"/>
      <c r="D179" s="15" t="n"/>
      <c r="E179" s="15" t="n"/>
      <c r="F179" s="15" t="n"/>
      <c r="G179" s="16" t="n"/>
      <c r="H179" s="17">
        <f>IF(A179="","",E179+SUMIF(Movimentações!$C$5:$C$504,A179,Movimentações!$E$5:$E$504)-SUMIF(Movimentações!$C$5:$C$504,A179,Movimentações!$F$5:$F$504))</f>
        <v/>
      </c>
      <c r="I179" s="18">
        <f>IF(A179="","",H179*G179)</f>
        <v/>
      </c>
      <c r="J179" s="16" t="n"/>
      <c r="K179" s="19">
        <f>IFERROR((J179-G179)/J179,0)</f>
        <v/>
      </c>
      <c r="L179" s="17">
        <f>IF(A179="","",IF(H179&lt;=F179,"BAIXO","OK"))</f>
        <v/>
      </c>
      <c r="M179" s="15" t="n"/>
    </row>
    <row r="180">
      <c r="A180" s="15" t="n"/>
      <c r="B180" s="15" t="n"/>
      <c r="C180" s="15" t="n"/>
      <c r="D180" s="15" t="n"/>
      <c r="E180" s="15" t="n"/>
      <c r="F180" s="15" t="n"/>
      <c r="G180" s="16" t="n"/>
      <c r="H180" s="17">
        <f>IF(A180="","",E180+SUMIF(Movimentações!$C$5:$C$504,A180,Movimentações!$E$5:$E$504)-SUMIF(Movimentações!$C$5:$C$504,A180,Movimentações!$F$5:$F$504))</f>
        <v/>
      </c>
      <c r="I180" s="18">
        <f>IF(A180="","",H180*G180)</f>
        <v/>
      </c>
      <c r="J180" s="16" t="n"/>
      <c r="K180" s="19">
        <f>IFERROR((J180-G180)/J180,0)</f>
        <v/>
      </c>
      <c r="L180" s="17">
        <f>IF(A180="","",IF(H180&lt;=F180,"BAIXO","OK"))</f>
        <v/>
      </c>
      <c r="M180" s="15" t="n"/>
    </row>
    <row r="181">
      <c r="A181" s="15" t="n"/>
      <c r="B181" s="15" t="n"/>
      <c r="C181" s="15" t="n"/>
      <c r="D181" s="15" t="n"/>
      <c r="E181" s="15" t="n"/>
      <c r="F181" s="15" t="n"/>
      <c r="G181" s="16" t="n"/>
      <c r="H181" s="17">
        <f>IF(A181="","",E181+SUMIF(Movimentações!$C$5:$C$504,A181,Movimentações!$E$5:$E$504)-SUMIF(Movimentações!$C$5:$C$504,A181,Movimentações!$F$5:$F$504))</f>
        <v/>
      </c>
      <c r="I181" s="18">
        <f>IF(A181="","",H181*G181)</f>
        <v/>
      </c>
      <c r="J181" s="16" t="n"/>
      <c r="K181" s="19">
        <f>IFERROR((J181-G181)/J181,0)</f>
        <v/>
      </c>
      <c r="L181" s="17">
        <f>IF(A181="","",IF(H181&lt;=F181,"BAIXO","OK"))</f>
        <v/>
      </c>
      <c r="M181" s="15" t="n"/>
    </row>
    <row r="182">
      <c r="A182" s="15" t="n"/>
      <c r="B182" s="15" t="n"/>
      <c r="C182" s="15" t="n"/>
      <c r="D182" s="15" t="n"/>
      <c r="E182" s="15" t="n"/>
      <c r="F182" s="15" t="n"/>
      <c r="G182" s="16" t="n"/>
      <c r="H182" s="17">
        <f>IF(A182="","",E182+SUMIF(Movimentações!$C$5:$C$504,A182,Movimentações!$E$5:$E$504)-SUMIF(Movimentações!$C$5:$C$504,A182,Movimentações!$F$5:$F$504))</f>
        <v/>
      </c>
      <c r="I182" s="18">
        <f>IF(A182="","",H182*G182)</f>
        <v/>
      </c>
      <c r="J182" s="16" t="n"/>
      <c r="K182" s="19">
        <f>IFERROR((J182-G182)/J182,0)</f>
        <v/>
      </c>
      <c r="L182" s="17">
        <f>IF(A182="","",IF(H182&lt;=F182,"BAIXO","OK"))</f>
        <v/>
      </c>
      <c r="M182" s="15" t="n"/>
    </row>
    <row r="183">
      <c r="A183" s="15" t="n"/>
      <c r="B183" s="15" t="n"/>
      <c r="C183" s="15" t="n"/>
      <c r="D183" s="15" t="n"/>
      <c r="E183" s="15" t="n"/>
      <c r="F183" s="15" t="n"/>
      <c r="G183" s="16" t="n"/>
      <c r="H183" s="17">
        <f>IF(A183="","",E183+SUMIF(Movimentações!$C$5:$C$504,A183,Movimentações!$E$5:$E$504)-SUMIF(Movimentações!$C$5:$C$504,A183,Movimentações!$F$5:$F$504))</f>
        <v/>
      </c>
      <c r="I183" s="18">
        <f>IF(A183="","",H183*G183)</f>
        <v/>
      </c>
      <c r="J183" s="16" t="n"/>
      <c r="K183" s="19">
        <f>IFERROR((J183-G183)/J183,0)</f>
        <v/>
      </c>
      <c r="L183" s="17">
        <f>IF(A183="","",IF(H183&lt;=F183,"BAIXO","OK"))</f>
        <v/>
      </c>
      <c r="M183" s="15" t="n"/>
    </row>
    <row r="184">
      <c r="A184" s="15" t="n"/>
      <c r="B184" s="15" t="n"/>
      <c r="C184" s="15" t="n"/>
      <c r="D184" s="15" t="n"/>
      <c r="E184" s="15" t="n"/>
      <c r="F184" s="15" t="n"/>
      <c r="G184" s="16" t="n"/>
      <c r="H184" s="17">
        <f>IF(A184="","",E184+SUMIF(Movimentações!$C$5:$C$504,A184,Movimentações!$E$5:$E$504)-SUMIF(Movimentações!$C$5:$C$504,A184,Movimentações!$F$5:$F$504))</f>
        <v/>
      </c>
      <c r="I184" s="18">
        <f>IF(A184="","",H184*G184)</f>
        <v/>
      </c>
      <c r="J184" s="16" t="n"/>
      <c r="K184" s="19">
        <f>IFERROR((J184-G184)/J184,0)</f>
        <v/>
      </c>
      <c r="L184" s="17">
        <f>IF(A184="","",IF(H184&lt;=F184,"BAIXO","OK"))</f>
        <v/>
      </c>
      <c r="M184" s="15" t="n"/>
    </row>
    <row r="185">
      <c r="A185" s="15" t="n"/>
      <c r="B185" s="15" t="n"/>
      <c r="C185" s="15" t="n"/>
      <c r="D185" s="15" t="n"/>
      <c r="E185" s="15" t="n"/>
      <c r="F185" s="15" t="n"/>
      <c r="G185" s="16" t="n"/>
      <c r="H185" s="17">
        <f>IF(A185="","",E185+SUMIF(Movimentações!$C$5:$C$504,A185,Movimentações!$E$5:$E$504)-SUMIF(Movimentações!$C$5:$C$504,A185,Movimentações!$F$5:$F$504))</f>
        <v/>
      </c>
      <c r="I185" s="18">
        <f>IF(A185="","",H185*G185)</f>
        <v/>
      </c>
      <c r="J185" s="16" t="n"/>
      <c r="K185" s="19">
        <f>IFERROR((J185-G185)/J185,0)</f>
        <v/>
      </c>
      <c r="L185" s="17">
        <f>IF(A185="","",IF(H185&lt;=F185,"BAIXO","OK"))</f>
        <v/>
      </c>
      <c r="M185" s="15" t="n"/>
    </row>
    <row r="186">
      <c r="A186" s="15" t="n"/>
      <c r="B186" s="15" t="n"/>
      <c r="C186" s="15" t="n"/>
      <c r="D186" s="15" t="n"/>
      <c r="E186" s="15" t="n"/>
      <c r="F186" s="15" t="n"/>
      <c r="G186" s="16" t="n"/>
      <c r="H186" s="17">
        <f>IF(A186="","",E186+SUMIF(Movimentações!$C$5:$C$504,A186,Movimentações!$E$5:$E$504)-SUMIF(Movimentações!$C$5:$C$504,A186,Movimentações!$F$5:$F$504))</f>
        <v/>
      </c>
      <c r="I186" s="18">
        <f>IF(A186="","",H186*G186)</f>
        <v/>
      </c>
      <c r="J186" s="16" t="n"/>
      <c r="K186" s="19">
        <f>IFERROR((J186-G186)/J186,0)</f>
        <v/>
      </c>
      <c r="L186" s="17">
        <f>IF(A186="","",IF(H186&lt;=F186,"BAIXO","OK"))</f>
        <v/>
      </c>
      <c r="M186" s="15" t="n"/>
    </row>
    <row r="187">
      <c r="A187" s="15" t="n"/>
      <c r="B187" s="15" t="n"/>
      <c r="C187" s="15" t="n"/>
      <c r="D187" s="15" t="n"/>
      <c r="E187" s="15" t="n"/>
      <c r="F187" s="15" t="n"/>
      <c r="G187" s="16" t="n"/>
      <c r="H187" s="17">
        <f>IF(A187="","",E187+SUMIF(Movimentações!$C$5:$C$504,A187,Movimentações!$E$5:$E$504)-SUMIF(Movimentações!$C$5:$C$504,A187,Movimentações!$F$5:$F$504))</f>
        <v/>
      </c>
      <c r="I187" s="18">
        <f>IF(A187="","",H187*G187)</f>
        <v/>
      </c>
      <c r="J187" s="16" t="n"/>
      <c r="K187" s="19">
        <f>IFERROR((J187-G187)/J187,0)</f>
        <v/>
      </c>
      <c r="L187" s="17">
        <f>IF(A187="","",IF(H187&lt;=F187,"BAIXO","OK"))</f>
        <v/>
      </c>
      <c r="M187" s="15" t="n"/>
    </row>
    <row r="188">
      <c r="A188" s="15" t="n"/>
      <c r="B188" s="15" t="n"/>
      <c r="C188" s="15" t="n"/>
      <c r="D188" s="15" t="n"/>
      <c r="E188" s="15" t="n"/>
      <c r="F188" s="15" t="n"/>
      <c r="G188" s="16" t="n"/>
      <c r="H188" s="17">
        <f>IF(A188="","",E188+SUMIF(Movimentações!$C$5:$C$504,A188,Movimentações!$E$5:$E$504)-SUMIF(Movimentações!$C$5:$C$504,A188,Movimentações!$F$5:$F$504))</f>
        <v/>
      </c>
      <c r="I188" s="18">
        <f>IF(A188="","",H188*G188)</f>
        <v/>
      </c>
      <c r="J188" s="16" t="n"/>
      <c r="K188" s="19">
        <f>IFERROR((J188-G188)/J188,0)</f>
        <v/>
      </c>
      <c r="L188" s="17">
        <f>IF(A188="","",IF(H188&lt;=F188,"BAIXO","OK"))</f>
        <v/>
      </c>
      <c r="M188" s="15" t="n"/>
    </row>
    <row r="189">
      <c r="A189" s="15" t="n"/>
      <c r="B189" s="15" t="n"/>
      <c r="C189" s="15" t="n"/>
      <c r="D189" s="15" t="n"/>
      <c r="E189" s="15" t="n"/>
      <c r="F189" s="15" t="n"/>
      <c r="G189" s="16" t="n"/>
      <c r="H189" s="17">
        <f>IF(A189="","",E189+SUMIF(Movimentações!$C$5:$C$504,A189,Movimentações!$E$5:$E$504)-SUMIF(Movimentações!$C$5:$C$504,A189,Movimentações!$F$5:$F$504))</f>
        <v/>
      </c>
      <c r="I189" s="18">
        <f>IF(A189="","",H189*G189)</f>
        <v/>
      </c>
      <c r="J189" s="16" t="n"/>
      <c r="K189" s="19">
        <f>IFERROR((J189-G189)/J189,0)</f>
        <v/>
      </c>
      <c r="L189" s="17">
        <f>IF(A189="","",IF(H189&lt;=F189,"BAIXO","OK"))</f>
        <v/>
      </c>
      <c r="M189" s="15" t="n"/>
    </row>
    <row r="190">
      <c r="A190" s="15" t="n"/>
      <c r="B190" s="15" t="n"/>
      <c r="C190" s="15" t="n"/>
      <c r="D190" s="15" t="n"/>
      <c r="E190" s="15" t="n"/>
      <c r="F190" s="15" t="n"/>
      <c r="G190" s="16" t="n"/>
      <c r="H190" s="17">
        <f>IF(A190="","",E190+SUMIF(Movimentações!$C$5:$C$504,A190,Movimentações!$E$5:$E$504)-SUMIF(Movimentações!$C$5:$C$504,A190,Movimentações!$F$5:$F$504))</f>
        <v/>
      </c>
      <c r="I190" s="18">
        <f>IF(A190="","",H190*G190)</f>
        <v/>
      </c>
      <c r="J190" s="16" t="n"/>
      <c r="K190" s="19">
        <f>IFERROR((J190-G190)/J190,0)</f>
        <v/>
      </c>
      <c r="L190" s="17">
        <f>IF(A190="","",IF(H190&lt;=F190,"BAIXO","OK"))</f>
        <v/>
      </c>
      <c r="M190" s="15" t="n"/>
    </row>
    <row r="191">
      <c r="A191" s="15" t="n"/>
      <c r="B191" s="15" t="n"/>
      <c r="C191" s="15" t="n"/>
      <c r="D191" s="15" t="n"/>
      <c r="E191" s="15" t="n"/>
      <c r="F191" s="15" t="n"/>
      <c r="G191" s="16" t="n"/>
      <c r="H191" s="17">
        <f>IF(A191="","",E191+SUMIF(Movimentações!$C$5:$C$504,A191,Movimentações!$E$5:$E$504)-SUMIF(Movimentações!$C$5:$C$504,A191,Movimentações!$F$5:$F$504))</f>
        <v/>
      </c>
      <c r="I191" s="18">
        <f>IF(A191="","",H191*G191)</f>
        <v/>
      </c>
      <c r="J191" s="16" t="n"/>
      <c r="K191" s="19">
        <f>IFERROR((J191-G191)/J191,0)</f>
        <v/>
      </c>
      <c r="L191" s="17">
        <f>IF(A191="","",IF(H191&lt;=F191,"BAIXO","OK"))</f>
        <v/>
      </c>
      <c r="M191" s="15" t="n"/>
    </row>
    <row r="192">
      <c r="A192" s="15" t="n"/>
      <c r="B192" s="15" t="n"/>
      <c r="C192" s="15" t="n"/>
      <c r="D192" s="15" t="n"/>
      <c r="E192" s="15" t="n"/>
      <c r="F192" s="15" t="n"/>
      <c r="G192" s="16" t="n"/>
      <c r="H192" s="17">
        <f>IF(A192="","",E192+SUMIF(Movimentações!$C$5:$C$504,A192,Movimentações!$E$5:$E$504)-SUMIF(Movimentações!$C$5:$C$504,A192,Movimentações!$F$5:$F$504))</f>
        <v/>
      </c>
      <c r="I192" s="18">
        <f>IF(A192="","",H192*G192)</f>
        <v/>
      </c>
      <c r="J192" s="16" t="n"/>
      <c r="K192" s="19">
        <f>IFERROR((J192-G192)/J192,0)</f>
        <v/>
      </c>
      <c r="L192" s="17">
        <f>IF(A192="","",IF(H192&lt;=F192,"BAIXO","OK"))</f>
        <v/>
      </c>
      <c r="M192" s="15" t="n"/>
    </row>
    <row r="193">
      <c r="A193" s="15" t="n"/>
      <c r="B193" s="15" t="n"/>
      <c r="C193" s="15" t="n"/>
      <c r="D193" s="15" t="n"/>
      <c r="E193" s="15" t="n"/>
      <c r="F193" s="15" t="n"/>
      <c r="G193" s="16" t="n"/>
      <c r="H193" s="17">
        <f>IF(A193="","",E193+SUMIF(Movimentações!$C$5:$C$504,A193,Movimentações!$E$5:$E$504)-SUMIF(Movimentações!$C$5:$C$504,A193,Movimentações!$F$5:$F$504))</f>
        <v/>
      </c>
      <c r="I193" s="18">
        <f>IF(A193="","",H193*G193)</f>
        <v/>
      </c>
      <c r="J193" s="16" t="n"/>
      <c r="K193" s="19">
        <f>IFERROR((J193-G193)/J193,0)</f>
        <v/>
      </c>
      <c r="L193" s="17">
        <f>IF(A193="","",IF(H193&lt;=F193,"BAIXO","OK"))</f>
        <v/>
      </c>
      <c r="M193" s="15" t="n"/>
    </row>
    <row r="194">
      <c r="A194" s="15" t="n"/>
      <c r="B194" s="15" t="n"/>
      <c r="C194" s="15" t="n"/>
      <c r="D194" s="15" t="n"/>
      <c r="E194" s="15" t="n"/>
      <c r="F194" s="15" t="n"/>
      <c r="G194" s="16" t="n"/>
      <c r="H194" s="17">
        <f>IF(A194="","",E194+SUMIF(Movimentações!$C$5:$C$504,A194,Movimentações!$E$5:$E$504)-SUMIF(Movimentações!$C$5:$C$504,A194,Movimentações!$F$5:$F$504))</f>
        <v/>
      </c>
      <c r="I194" s="18">
        <f>IF(A194="","",H194*G194)</f>
        <v/>
      </c>
      <c r="J194" s="16" t="n"/>
      <c r="K194" s="19">
        <f>IFERROR((J194-G194)/J194,0)</f>
        <v/>
      </c>
      <c r="L194" s="17">
        <f>IF(A194="","",IF(H194&lt;=F194,"BAIXO","OK"))</f>
        <v/>
      </c>
      <c r="M194" s="15" t="n"/>
    </row>
    <row r="195">
      <c r="A195" s="15" t="n"/>
      <c r="B195" s="15" t="n"/>
      <c r="C195" s="15" t="n"/>
      <c r="D195" s="15" t="n"/>
      <c r="E195" s="15" t="n"/>
      <c r="F195" s="15" t="n"/>
      <c r="G195" s="16" t="n"/>
      <c r="H195" s="17">
        <f>IF(A195="","",E195+SUMIF(Movimentações!$C$5:$C$504,A195,Movimentações!$E$5:$E$504)-SUMIF(Movimentações!$C$5:$C$504,A195,Movimentações!$F$5:$F$504))</f>
        <v/>
      </c>
      <c r="I195" s="18">
        <f>IF(A195="","",H195*G195)</f>
        <v/>
      </c>
      <c r="J195" s="16" t="n"/>
      <c r="K195" s="19">
        <f>IFERROR((J195-G195)/J195,0)</f>
        <v/>
      </c>
      <c r="L195" s="17">
        <f>IF(A195="","",IF(H195&lt;=F195,"BAIXO","OK"))</f>
        <v/>
      </c>
      <c r="M195" s="15" t="n"/>
    </row>
    <row r="196">
      <c r="A196" s="15" t="n"/>
      <c r="B196" s="15" t="n"/>
      <c r="C196" s="15" t="n"/>
      <c r="D196" s="15" t="n"/>
      <c r="E196" s="15" t="n"/>
      <c r="F196" s="15" t="n"/>
      <c r="G196" s="16" t="n"/>
      <c r="H196" s="17">
        <f>IF(A196="","",E196+SUMIF(Movimentações!$C$5:$C$504,A196,Movimentações!$E$5:$E$504)-SUMIF(Movimentações!$C$5:$C$504,A196,Movimentações!$F$5:$F$504))</f>
        <v/>
      </c>
      <c r="I196" s="18">
        <f>IF(A196="","",H196*G196)</f>
        <v/>
      </c>
      <c r="J196" s="16" t="n"/>
      <c r="K196" s="19">
        <f>IFERROR((J196-G196)/J196,0)</f>
        <v/>
      </c>
      <c r="L196" s="17">
        <f>IF(A196="","",IF(H196&lt;=F196,"BAIXO","OK"))</f>
        <v/>
      </c>
      <c r="M196" s="15" t="n"/>
    </row>
    <row r="197">
      <c r="A197" s="15" t="n"/>
      <c r="B197" s="15" t="n"/>
      <c r="C197" s="15" t="n"/>
      <c r="D197" s="15" t="n"/>
      <c r="E197" s="15" t="n"/>
      <c r="F197" s="15" t="n"/>
      <c r="G197" s="16" t="n"/>
      <c r="H197" s="17">
        <f>IF(A197="","",E197+SUMIF(Movimentações!$C$5:$C$504,A197,Movimentações!$E$5:$E$504)-SUMIF(Movimentações!$C$5:$C$504,A197,Movimentações!$F$5:$F$504))</f>
        <v/>
      </c>
      <c r="I197" s="18">
        <f>IF(A197="","",H197*G197)</f>
        <v/>
      </c>
      <c r="J197" s="16" t="n"/>
      <c r="K197" s="19">
        <f>IFERROR((J197-G197)/J197,0)</f>
        <v/>
      </c>
      <c r="L197" s="17">
        <f>IF(A197="","",IF(H197&lt;=F197,"BAIXO","OK"))</f>
        <v/>
      </c>
      <c r="M197" s="15" t="n"/>
    </row>
    <row r="198">
      <c r="A198" s="15" t="n"/>
      <c r="B198" s="15" t="n"/>
      <c r="C198" s="15" t="n"/>
      <c r="D198" s="15" t="n"/>
      <c r="E198" s="15" t="n"/>
      <c r="F198" s="15" t="n"/>
      <c r="G198" s="16" t="n"/>
      <c r="H198" s="17">
        <f>IF(A198="","",E198+SUMIF(Movimentações!$C$5:$C$504,A198,Movimentações!$E$5:$E$504)-SUMIF(Movimentações!$C$5:$C$504,A198,Movimentações!$F$5:$F$504))</f>
        <v/>
      </c>
      <c r="I198" s="18">
        <f>IF(A198="","",H198*G198)</f>
        <v/>
      </c>
      <c r="J198" s="16" t="n"/>
      <c r="K198" s="19">
        <f>IFERROR((J198-G198)/J198,0)</f>
        <v/>
      </c>
      <c r="L198" s="17">
        <f>IF(A198="","",IF(H198&lt;=F198,"BAIXO","OK"))</f>
        <v/>
      </c>
      <c r="M198" s="15" t="n"/>
    </row>
    <row r="199">
      <c r="A199" s="15" t="n"/>
      <c r="B199" s="15" t="n"/>
      <c r="C199" s="15" t="n"/>
      <c r="D199" s="15" t="n"/>
      <c r="E199" s="15" t="n"/>
      <c r="F199" s="15" t="n"/>
      <c r="G199" s="16" t="n"/>
      <c r="H199" s="17">
        <f>IF(A199="","",E199+SUMIF(Movimentações!$C$5:$C$504,A199,Movimentações!$E$5:$E$504)-SUMIF(Movimentações!$C$5:$C$504,A199,Movimentações!$F$5:$F$504))</f>
        <v/>
      </c>
      <c r="I199" s="18">
        <f>IF(A199="","",H199*G199)</f>
        <v/>
      </c>
      <c r="J199" s="16" t="n"/>
      <c r="K199" s="19">
        <f>IFERROR((J199-G199)/J199,0)</f>
        <v/>
      </c>
      <c r="L199" s="17">
        <f>IF(A199="","",IF(H199&lt;=F199,"BAIXO","OK"))</f>
        <v/>
      </c>
      <c r="M199" s="15" t="n"/>
    </row>
    <row r="200">
      <c r="A200" s="15" t="n"/>
      <c r="B200" s="15" t="n"/>
      <c r="C200" s="15" t="n"/>
      <c r="D200" s="15" t="n"/>
      <c r="E200" s="15" t="n"/>
      <c r="F200" s="15" t="n"/>
      <c r="G200" s="16" t="n"/>
      <c r="H200" s="17">
        <f>IF(A200="","",E200+SUMIF(Movimentações!$C$5:$C$504,A200,Movimentações!$E$5:$E$504)-SUMIF(Movimentações!$C$5:$C$504,A200,Movimentações!$F$5:$F$504))</f>
        <v/>
      </c>
      <c r="I200" s="18">
        <f>IF(A200="","",H200*G200)</f>
        <v/>
      </c>
      <c r="J200" s="16" t="n"/>
      <c r="K200" s="19">
        <f>IFERROR((J200-G200)/J200,0)</f>
        <v/>
      </c>
      <c r="L200" s="17">
        <f>IF(A200="","",IF(H200&lt;=F200,"BAIXO","OK"))</f>
        <v/>
      </c>
      <c r="M200" s="15" t="n"/>
    </row>
    <row r="201">
      <c r="A201" s="15" t="n"/>
      <c r="B201" s="15" t="n"/>
      <c r="C201" s="15" t="n"/>
      <c r="D201" s="15" t="n"/>
      <c r="E201" s="15" t="n"/>
      <c r="F201" s="15" t="n"/>
      <c r="G201" s="16" t="n"/>
      <c r="H201" s="17">
        <f>IF(A201="","",E201+SUMIF(Movimentações!$C$5:$C$504,A201,Movimentações!$E$5:$E$504)-SUMIF(Movimentações!$C$5:$C$504,A201,Movimentações!$F$5:$F$504))</f>
        <v/>
      </c>
      <c r="I201" s="18">
        <f>IF(A201="","",H201*G201)</f>
        <v/>
      </c>
      <c r="J201" s="16" t="n"/>
      <c r="K201" s="19">
        <f>IFERROR((J201-G201)/J201,0)</f>
        <v/>
      </c>
      <c r="L201" s="17">
        <f>IF(A201="","",IF(H201&lt;=F201,"BAIXO","OK"))</f>
        <v/>
      </c>
      <c r="M201" s="15" t="n"/>
    </row>
    <row r="202">
      <c r="A202" s="15" t="n"/>
      <c r="B202" s="15" t="n"/>
      <c r="C202" s="15" t="n"/>
      <c r="D202" s="15" t="n"/>
      <c r="E202" s="15" t="n"/>
      <c r="F202" s="15" t="n"/>
      <c r="G202" s="16" t="n"/>
      <c r="H202" s="17">
        <f>IF(A202="","",E202+SUMIF(Movimentações!$C$5:$C$504,A202,Movimentações!$E$5:$E$504)-SUMIF(Movimentações!$C$5:$C$504,A202,Movimentações!$F$5:$F$504))</f>
        <v/>
      </c>
      <c r="I202" s="18">
        <f>IF(A202="","",H202*G202)</f>
        <v/>
      </c>
      <c r="J202" s="16" t="n"/>
      <c r="K202" s="19">
        <f>IFERROR((J202-G202)/J202,0)</f>
        <v/>
      </c>
      <c r="L202" s="17">
        <f>IF(A202="","",IF(H202&lt;=F202,"BAIXO","OK"))</f>
        <v/>
      </c>
      <c r="M202" s="15" t="n"/>
    </row>
    <row r="203">
      <c r="A203" s="15" t="n"/>
      <c r="B203" s="15" t="n"/>
      <c r="C203" s="15" t="n"/>
      <c r="D203" s="15" t="n"/>
      <c r="E203" s="15" t="n"/>
      <c r="F203" s="15" t="n"/>
      <c r="G203" s="16" t="n"/>
      <c r="H203" s="17">
        <f>IF(A203="","",E203+SUMIF(Movimentações!$C$5:$C$504,A203,Movimentações!$E$5:$E$504)-SUMIF(Movimentações!$C$5:$C$504,A203,Movimentações!$F$5:$F$504))</f>
        <v/>
      </c>
      <c r="I203" s="18">
        <f>IF(A203="","",H203*G203)</f>
        <v/>
      </c>
      <c r="J203" s="16" t="n"/>
      <c r="K203" s="19">
        <f>IFERROR((J203-G203)/J203,0)</f>
        <v/>
      </c>
      <c r="L203" s="17">
        <f>IF(A203="","",IF(H203&lt;=F203,"BAIXO","OK"))</f>
        <v/>
      </c>
      <c r="M203" s="15" t="n"/>
    </row>
    <row r="204">
      <c r="A204" s="15" t="n"/>
      <c r="B204" s="15" t="n"/>
      <c r="C204" s="15" t="n"/>
      <c r="D204" s="15" t="n"/>
      <c r="E204" s="15" t="n"/>
      <c r="F204" s="15" t="n"/>
      <c r="G204" s="16" t="n"/>
      <c r="H204" s="17">
        <f>IF(A204="","",E204+SUMIF(Movimentações!$C$5:$C$504,A204,Movimentações!$E$5:$E$504)-SUMIF(Movimentações!$C$5:$C$504,A204,Movimentações!$F$5:$F$504))</f>
        <v/>
      </c>
      <c r="I204" s="18">
        <f>IF(A204="","",H204*G204)</f>
        <v/>
      </c>
      <c r="J204" s="16" t="n"/>
      <c r="K204" s="19">
        <f>IFERROR((J204-G204)/J204,0)</f>
        <v/>
      </c>
      <c r="L204" s="17">
        <f>IF(A204="","",IF(H204&lt;=F204,"BAIXO","OK"))</f>
        <v/>
      </c>
      <c r="M204" s="15" t="n"/>
    </row>
  </sheetData>
  <autoFilter ref="A4:M204"/>
  <mergeCells count="2">
    <mergeCell ref="A2:M2"/>
    <mergeCell ref="A1:M1"/>
  </mergeCells>
  <conditionalFormatting sqref="L5:L204">
    <cfRule type="expression" priority="1" dxfId="0">
      <formula>L5="BAIXO"</formula>
    </cfRule>
    <cfRule type="expression" priority="2" dxfId="1">
      <formula>L5="OK"</formula>
    </cfRule>
  </conditionalFormatting>
  <dataValidations count="1">
    <dataValidation sqref="D5:D204" showDropDown="0" showInputMessage="0" showErrorMessage="0" allowBlank="1" type="list">
      <formula1>"un,kg,g,L,mL,caixa,pacote,par,rolo,metro"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0" customWidth="1" min="4" max="4"/>
    <col width="16" customWidth="1" min="5" max="5"/>
    <col width="16" customWidth="1" min="6" max="6"/>
    <col width="32" customWidth="1" min="7" max="7"/>
    <col width="22" customWidth="1" min="8" max="8"/>
  </cols>
  <sheetData>
    <row r="1" ht="32" customHeight="1">
      <c r="A1" s="1" t="inlineStr">
        <is>
          <t>ENTRADAS E SAÍDAS</t>
        </is>
      </c>
    </row>
    <row r="2">
      <c r="A2" s="13" t="inlineStr">
        <is>
          <t>Use quantidades positivas nas colunas Entrada ou Saída; não preencha ambas na mesma linha.</t>
        </is>
      </c>
    </row>
    <row r="3"/>
    <row r="4">
      <c r="A4" s="14" t="inlineStr">
        <is>
          <t>Data</t>
        </is>
      </c>
      <c r="B4" s="14" t="inlineStr">
        <is>
          <t>Tipo</t>
        </is>
      </c>
      <c r="C4" s="14" t="inlineStr">
        <is>
          <t>SKU/Código</t>
        </is>
      </c>
      <c r="D4" s="14" t="inlineStr">
        <is>
          <t>Produto/Descrição</t>
        </is>
      </c>
      <c r="E4" s="14" t="inlineStr">
        <is>
          <t>Entrada (qtde.)</t>
        </is>
      </c>
      <c r="F4" s="14" t="inlineStr">
        <is>
          <t>Saída (qtde.)</t>
        </is>
      </c>
      <c r="G4" s="14" t="inlineStr">
        <is>
          <t>Documento/Observação</t>
        </is>
      </c>
      <c r="H4" s="14" t="inlineStr">
        <is>
          <t>Responsável</t>
        </is>
      </c>
    </row>
    <row r="5">
      <c r="A5" s="20" t="n"/>
      <c r="B5" s="15" t="n"/>
      <c r="C5" s="15" t="n"/>
      <c r="D5" s="15" t="n"/>
      <c r="E5" s="15" t="n"/>
      <c r="F5" s="15" t="n"/>
      <c r="G5" s="15" t="n"/>
      <c r="H5" s="15" t="n"/>
    </row>
    <row r="6">
      <c r="A6" s="20" t="n"/>
      <c r="B6" s="15" t="n"/>
      <c r="C6" s="15" t="n"/>
      <c r="D6" s="15" t="n"/>
      <c r="E6" s="15" t="n"/>
      <c r="F6" s="15" t="n"/>
      <c r="G6" s="15" t="n"/>
      <c r="H6" s="15" t="n"/>
    </row>
    <row r="7">
      <c r="A7" s="20" t="n"/>
      <c r="B7" s="15" t="n"/>
      <c r="C7" s="15" t="n"/>
      <c r="D7" s="15" t="n"/>
      <c r="E7" s="15" t="n"/>
      <c r="F7" s="15" t="n"/>
      <c r="G7" s="15" t="n"/>
      <c r="H7" s="15" t="n"/>
    </row>
    <row r="8">
      <c r="A8" s="20" t="n"/>
      <c r="B8" s="15" t="n"/>
      <c r="C8" s="15" t="n"/>
      <c r="D8" s="15" t="n"/>
      <c r="E8" s="15" t="n"/>
      <c r="F8" s="15" t="n"/>
      <c r="G8" s="15" t="n"/>
      <c r="H8" s="15" t="n"/>
    </row>
    <row r="9">
      <c r="A9" s="20" t="n"/>
      <c r="B9" s="15" t="n"/>
      <c r="C9" s="15" t="n"/>
      <c r="D9" s="15" t="n"/>
      <c r="E9" s="15" t="n"/>
      <c r="F9" s="15" t="n"/>
      <c r="G9" s="15" t="n"/>
      <c r="H9" s="15" t="n"/>
    </row>
    <row r="10">
      <c r="A10" s="20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20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20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20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20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20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20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20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20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20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20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20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20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20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20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20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20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20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20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20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20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20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20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20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20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20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20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20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20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20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20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20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20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20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20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20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20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20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20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20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20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20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20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20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20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20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20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20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20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20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20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20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20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20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20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20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20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20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20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20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20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20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20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20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20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20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20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20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20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20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20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20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20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20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20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20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20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20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20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20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20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20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20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20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20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20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20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20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20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20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20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20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20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20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20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20" t="n"/>
      <c r="B105" s="15" t="n"/>
      <c r="C105" s="15" t="n"/>
      <c r="D105" s="15" t="n"/>
      <c r="E105" s="15" t="n"/>
      <c r="F105" s="15" t="n"/>
      <c r="G105" s="15" t="n"/>
      <c r="H105" s="15" t="n"/>
    </row>
    <row r="106">
      <c r="A106" s="20" t="n"/>
      <c r="B106" s="15" t="n"/>
      <c r="C106" s="15" t="n"/>
      <c r="D106" s="15" t="n"/>
      <c r="E106" s="15" t="n"/>
      <c r="F106" s="15" t="n"/>
      <c r="G106" s="15" t="n"/>
      <c r="H106" s="15" t="n"/>
    </row>
    <row r="107">
      <c r="A107" s="20" t="n"/>
      <c r="B107" s="15" t="n"/>
      <c r="C107" s="15" t="n"/>
      <c r="D107" s="15" t="n"/>
      <c r="E107" s="15" t="n"/>
      <c r="F107" s="15" t="n"/>
      <c r="G107" s="15" t="n"/>
      <c r="H107" s="15" t="n"/>
    </row>
    <row r="108">
      <c r="A108" s="20" t="n"/>
      <c r="B108" s="15" t="n"/>
      <c r="C108" s="15" t="n"/>
      <c r="D108" s="15" t="n"/>
      <c r="E108" s="15" t="n"/>
      <c r="F108" s="15" t="n"/>
      <c r="G108" s="15" t="n"/>
      <c r="H108" s="15" t="n"/>
    </row>
    <row r="109">
      <c r="A109" s="20" t="n"/>
      <c r="B109" s="15" t="n"/>
      <c r="C109" s="15" t="n"/>
      <c r="D109" s="15" t="n"/>
      <c r="E109" s="15" t="n"/>
      <c r="F109" s="15" t="n"/>
      <c r="G109" s="15" t="n"/>
      <c r="H109" s="15" t="n"/>
    </row>
    <row r="110">
      <c r="A110" s="20" t="n"/>
      <c r="B110" s="15" t="n"/>
      <c r="C110" s="15" t="n"/>
      <c r="D110" s="15" t="n"/>
      <c r="E110" s="15" t="n"/>
      <c r="F110" s="15" t="n"/>
      <c r="G110" s="15" t="n"/>
      <c r="H110" s="15" t="n"/>
    </row>
    <row r="111">
      <c r="A111" s="20" t="n"/>
      <c r="B111" s="15" t="n"/>
      <c r="C111" s="15" t="n"/>
      <c r="D111" s="15" t="n"/>
      <c r="E111" s="15" t="n"/>
      <c r="F111" s="15" t="n"/>
      <c r="G111" s="15" t="n"/>
      <c r="H111" s="15" t="n"/>
    </row>
    <row r="112">
      <c r="A112" s="20" t="n"/>
      <c r="B112" s="15" t="n"/>
      <c r="C112" s="15" t="n"/>
      <c r="D112" s="15" t="n"/>
      <c r="E112" s="15" t="n"/>
      <c r="F112" s="15" t="n"/>
      <c r="G112" s="15" t="n"/>
      <c r="H112" s="15" t="n"/>
    </row>
    <row r="113">
      <c r="A113" s="20" t="n"/>
      <c r="B113" s="15" t="n"/>
      <c r="C113" s="15" t="n"/>
      <c r="D113" s="15" t="n"/>
      <c r="E113" s="15" t="n"/>
      <c r="F113" s="15" t="n"/>
      <c r="G113" s="15" t="n"/>
      <c r="H113" s="15" t="n"/>
    </row>
    <row r="114">
      <c r="A114" s="20" t="n"/>
      <c r="B114" s="15" t="n"/>
      <c r="C114" s="15" t="n"/>
      <c r="D114" s="15" t="n"/>
      <c r="E114" s="15" t="n"/>
      <c r="F114" s="15" t="n"/>
      <c r="G114" s="15" t="n"/>
      <c r="H114" s="15" t="n"/>
    </row>
    <row r="115">
      <c r="A115" s="20" t="n"/>
      <c r="B115" s="15" t="n"/>
      <c r="C115" s="15" t="n"/>
      <c r="D115" s="15" t="n"/>
      <c r="E115" s="15" t="n"/>
      <c r="F115" s="15" t="n"/>
      <c r="G115" s="15" t="n"/>
      <c r="H115" s="15" t="n"/>
    </row>
    <row r="116">
      <c r="A116" s="20" t="n"/>
      <c r="B116" s="15" t="n"/>
      <c r="C116" s="15" t="n"/>
      <c r="D116" s="15" t="n"/>
      <c r="E116" s="15" t="n"/>
      <c r="F116" s="15" t="n"/>
      <c r="G116" s="15" t="n"/>
      <c r="H116" s="15" t="n"/>
    </row>
    <row r="117">
      <c r="A117" s="20" t="n"/>
      <c r="B117" s="15" t="n"/>
      <c r="C117" s="15" t="n"/>
      <c r="D117" s="15" t="n"/>
      <c r="E117" s="15" t="n"/>
      <c r="F117" s="15" t="n"/>
      <c r="G117" s="15" t="n"/>
      <c r="H117" s="15" t="n"/>
    </row>
    <row r="118">
      <c r="A118" s="20" t="n"/>
      <c r="B118" s="15" t="n"/>
      <c r="C118" s="15" t="n"/>
      <c r="D118" s="15" t="n"/>
      <c r="E118" s="15" t="n"/>
      <c r="F118" s="15" t="n"/>
      <c r="G118" s="15" t="n"/>
      <c r="H118" s="15" t="n"/>
    </row>
    <row r="119">
      <c r="A119" s="20" t="n"/>
      <c r="B119" s="15" t="n"/>
      <c r="C119" s="15" t="n"/>
      <c r="D119" s="15" t="n"/>
      <c r="E119" s="15" t="n"/>
      <c r="F119" s="15" t="n"/>
      <c r="G119" s="15" t="n"/>
      <c r="H119" s="15" t="n"/>
    </row>
    <row r="120">
      <c r="A120" s="20" t="n"/>
      <c r="B120" s="15" t="n"/>
      <c r="C120" s="15" t="n"/>
      <c r="D120" s="15" t="n"/>
      <c r="E120" s="15" t="n"/>
      <c r="F120" s="15" t="n"/>
      <c r="G120" s="15" t="n"/>
      <c r="H120" s="15" t="n"/>
    </row>
    <row r="121">
      <c r="A121" s="20" t="n"/>
      <c r="B121" s="15" t="n"/>
      <c r="C121" s="15" t="n"/>
      <c r="D121" s="15" t="n"/>
      <c r="E121" s="15" t="n"/>
      <c r="F121" s="15" t="n"/>
      <c r="G121" s="15" t="n"/>
      <c r="H121" s="15" t="n"/>
    </row>
    <row r="122">
      <c r="A122" s="20" t="n"/>
      <c r="B122" s="15" t="n"/>
      <c r="C122" s="15" t="n"/>
      <c r="D122" s="15" t="n"/>
      <c r="E122" s="15" t="n"/>
      <c r="F122" s="15" t="n"/>
      <c r="G122" s="15" t="n"/>
      <c r="H122" s="15" t="n"/>
    </row>
    <row r="123">
      <c r="A123" s="20" t="n"/>
      <c r="B123" s="15" t="n"/>
      <c r="C123" s="15" t="n"/>
      <c r="D123" s="15" t="n"/>
      <c r="E123" s="15" t="n"/>
      <c r="F123" s="15" t="n"/>
      <c r="G123" s="15" t="n"/>
      <c r="H123" s="15" t="n"/>
    </row>
    <row r="124">
      <c r="A124" s="20" t="n"/>
      <c r="B124" s="15" t="n"/>
      <c r="C124" s="15" t="n"/>
      <c r="D124" s="15" t="n"/>
      <c r="E124" s="15" t="n"/>
      <c r="F124" s="15" t="n"/>
      <c r="G124" s="15" t="n"/>
      <c r="H124" s="15" t="n"/>
    </row>
    <row r="125">
      <c r="A125" s="20" t="n"/>
      <c r="B125" s="15" t="n"/>
      <c r="C125" s="15" t="n"/>
      <c r="D125" s="15" t="n"/>
      <c r="E125" s="15" t="n"/>
      <c r="F125" s="15" t="n"/>
      <c r="G125" s="15" t="n"/>
      <c r="H125" s="15" t="n"/>
    </row>
    <row r="126">
      <c r="A126" s="20" t="n"/>
      <c r="B126" s="15" t="n"/>
      <c r="C126" s="15" t="n"/>
      <c r="D126" s="15" t="n"/>
      <c r="E126" s="15" t="n"/>
      <c r="F126" s="15" t="n"/>
      <c r="G126" s="15" t="n"/>
      <c r="H126" s="15" t="n"/>
    </row>
    <row r="127">
      <c r="A127" s="20" t="n"/>
      <c r="B127" s="15" t="n"/>
      <c r="C127" s="15" t="n"/>
      <c r="D127" s="15" t="n"/>
      <c r="E127" s="15" t="n"/>
      <c r="F127" s="15" t="n"/>
      <c r="G127" s="15" t="n"/>
      <c r="H127" s="15" t="n"/>
    </row>
    <row r="128">
      <c r="A128" s="20" t="n"/>
      <c r="B128" s="15" t="n"/>
      <c r="C128" s="15" t="n"/>
      <c r="D128" s="15" t="n"/>
      <c r="E128" s="15" t="n"/>
      <c r="F128" s="15" t="n"/>
      <c r="G128" s="15" t="n"/>
      <c r="H128" s="15" t="n"/>
    </row>
    <row r="129">
      <c r="A129" s="20" t="n"/>
      <c r="B129" s="15" t="n"/>
      <c r="C129" s="15" t="n"/>
      <c r="D129" s="15" t="n"/>
      <c r="E129" s="15" t="n"/>
      <c r="F129" s="15" t="n"/>
      <c r="G129" s="15" t="n"/>
      <c r="H129" s="15" t="n"/>
    </row>
    <row r="130">
      <c r="A130" s="20" t="n"/>
      <c r="B130" s="15" t="n"/>
      <c r="C130" s="15" t="n"/>
      <c r="D130" s="15" t="n"/>
      <c r="E130" s="15" t="n"/>
      <c r="F130" s="15" t="n"/>
      <c r="G130" s="15" t="n"/>
      <c r="H130" s="15" t="n"/>
    </row>
    <row r="131">
      <c r="A131" s="20" t="n"/>
      <c r="B131" s="15" t="n"/>
      <c r="C131" s="15" t="n"/>
      <c r="D131" s="15" t="n"/>
      <c r="E131" s="15" t="n"/>
      <c r="F131" s="15" t="n"/>
      <c r="G131" s="15" t="n"/>
      <c r="H131" s="15" t="n"/>
    </row>
    <row r="132">
      <c r="A132" s="20" t="n"/>
      <c r="B132" s="15" t="n"/>
      <c r="C132" s="15" t="n"/>
      <c r="D132" s="15" t="n"/>
      <c r="E132" s="15" t="n"/>
      <c r="F132" s="15" t="n"/>
      <c r="G132" s="15" t="n"/>
      <c r="H132" s="15" t="n"/>
    </row>
    <row r="133">
      <c r="A133" s="20" t="n"/>
      <c r="B133" s="15" t="n"/>
      <c r="C133" s="15" t="n"/>
      <c r="D133" s="15" t="n"/>
      <c r="E133" s="15" t="n"/>
      <c r="F133" s="15" t="n"/>
      <c r="G133" s="15" t="n"/>
      <c r="H133" s="15" t="n"/>
    </row>
    <row r="134">
      <c r="A134" s="20" t="n"/>
      <c r="B134" s="15" t="n"/>
      <c r="C134" s="15" t="n"/>
      <c r="D134" s="15" t="n"/>
      <c r="E134" s="15" t="n"/>
      <c r="F134" s="15" t="n"/>
      <c r="G134" s="15" t="n"/>
      <c r="H134" s="15" t="n"/>
    </row>
    <row r="135">
      <c r="A135" s="20" t="n"/>
      <c r="B135" s="15" t="n"/>
      <c r="C135" s="15" t="n"/>
      <c r="D135" s="15" t="n"/>
      <c r="E135" s="15" t="n"/>
      <c r="F135" s="15" t="n"/>
      <c r="G135" s="15" t="n"/>
      <c r="H135" s="15" t="n"/>
    </row>
    <row r="136">
      <c r="A136" s="20" t="n"/>
      <c r="B136" s="15" t="n"/>
      <c r="C136" s="15" t="n"/>
      <c r="D136" s="15" t="n"/>
      <c r="E136" s="15" t="n"/>
      <c r="F136" s="15" t="n"/>
      <c r="G136" s="15" t="n"/>
      <c r="H136" s="15" t="n"/>
    </row>
    <row r="137">
      <c r="A137" s="20" t="n"/>
      <c r="B137" s="15" t="n"/>
      <c r="C137" s="15" t="n"/>
      <c r="D137" s="15" t="n"/>
      <c r="E137" s="15" t="n"/>
      <c r="F137" s="15" t="n"/>
      <c r="G137" s="15" t="n"/>
      <c r="H137" s="15" t="n"/>
    </row>
    <row r="138">
      <c r="A138" s="20" t="n"/>
      <c r="B138" s="15" t="n"/>
      <c r="C138" s="15" t="n"/>
      <c r="D138" s="15" t="n"/>
      <c r="E138" s="15" t="n"/>
      <c r="F138" s="15" t="n"/>
      <c r="G138" s="15" t="n"/>
      <c r="H138" s="15" t="n"/>
    </row>
    <row r="139">
      <c r="A139" s="20" t="n"/>
      <c r="B139" s="15" t="n"/>
      <c r="C139" s="15" t="n"/>
      <c r="D139" s="15" t="n"/>
      <c r="E139" s="15" t="n"/>
      <c r="F139" s="15" t="n"/>
      <c r="G139" s="15" t="n"/>
      <c r="H139" s="15" t="n"/>
    </row>
    <row r="140">
      <c r="A140" s="20" t="n"/>
      <c r="B140" s="15" t="n"/>
      <c r="C140" s="15" t="n"/>
      <c r="D140" s="15" t="n"/>
      <c r="E140" s="15" t="n"/>
      <c r="F140" s="15" t="n"/>
      <c r="G140" s="15" t="n"/>
      <c r="H140" s="15" t="n"/>
    </row>
    <row r="141">
      <c r="A141" s="20" t="n"/>
      <c r="B141" s="15" t="n"/>
      <c r="C141" s="15" t="n"/>
      <c r="D141" s="15" t="n"/>
      <c r="E141" s="15" t="n"/>
      <c r="F141" s="15" t="n"/>
      <c r="G141" s="15" t="n"/>
      <c r="H141" s="15" t="n"/>
    </row>
    <row r="142">
      <c r="A142" s="20" t="n"/>
      <c r="B142" s="15" t="n"/>
      <c r="C142" s="15" t="n"/>
      <c r="D142" s="15" t="n"/>
      <c r="E142" s="15" t="n"/>
      <c r="F142" s="15" t="n"/>
      <c r="G142" s="15" t="n"/>
      <c r="H142" s="15" t="n"/>
    </row>
    <row r="143">
      <c r="A143" s="20" t="n"/>
      <c r="B143" s="15" t="n"/>
      <c r="C143" s="15" t="n"/>
      <c r="D143" s="15" t="n"/>
      <c r="E143" s="15" t="n"/>
      <c r="F143" s="15" t="n"/>
      <c r="G143" s="15" t="n"/>
      <c r="H143" s="15" t="n"/>
    </row>
    <row r="144">
      <c r="A144" s="20" t="n"/>
      <c r="B144" s="15" t="n"/>
      <c r="C144" s="15" t="n"/>
      <c r="D144" s="15" t="n"/>
      <c r="E144" s="15" t="n"/>
      <c r="F144" s="15" t="n"/>
      <c r="G144" s="15" t="n"/>
      <c r="H144" s="15" t="n"/>
    </row>
    <row r="145">
      <c r="A145" s="20" t="n"/>
      <c r="B145" s="15" t="n"/>
      <c r="C145" s="15" t="n"/>
      <c r="D145" s="15" t="n"/>
      <c r="E145" s="15" t="n"/>
      <c r="F145" s="15" t="n"/>
      <c r="G145" s="15" t="n"/>
      <c r="H145" s="15" t="n"/>
    </row>
    <row r="146">
      <c r="A146" s="20" t="n"/>
      <c r="B146" s="15" t="n"/>
      <c r="C146" s="15" t="n"/>
      <c r="D146" s="15" t="n"/>
      <c r="E146" s="15" t="n"/>
      <c r="F146" s="15" t="n"/>
      <c r="G146" s="15" t="n"/>
      <c r="H146" s="15" t="n"/>
    </row>
    <row r="147">
      <c r="A147" s="20" t="n"/>
      <c r="B147" s="15" t="n"/>
      <c r="C147" s="15" t="n"/>
      <c r="D147" s="15" t="n"/>
      <c r="E147" s="15" t="n"/>
      <c r="F147" s="15" t="n"/>
      <c r="G147" s="15" t="n"/>
      <c r="H147" s="15" t="n"/>
    </row>
    <row r="148">
      <c r="A148" s="20" t="n"/>
      <c r="B148" s="15" t="n"/>
      <c r="C148" s="15" t="n"/>
      <c r="D148" s="15" t="n"/>
      <c r="E148" s="15" t="n"/>
      <c r="F148" s="15" t="n"/>
      <c r="G148" s="15" t="n"/>
      <c r="H148" s="15" t="n"/>
    </row>
    <row r="149">
      <c r="A149" s="20" t="n"/>
      <c r="B149" s="15" t="n"/>
      <c r="C149" s="15" t="n"/>
      <c r="D149" s="15" t="n"/>
      <c r="E149" s="15" t="n"/>
      <c r="F149" s="15" t="n"/>
      <c r="G149" s="15" t="n"/>
      <c r="H149" s="15" t="n"/>
    </row>
    <row r="150">
      <c r="A150" s="20" t="n"/>
      <c r="B150" s="15" t="n"/>
      <c r="C150" s="15" t="n"/>
      <c r="D150" s="15" t="n"/>
      <c r="E150" s="15" t="n"/>
      <c r="F150" s="15" t="n"/>
      <c r="G150" s="15" t="n"/>
      <c r="H150" s="15" t="n"/>
    </row>
    <row r="151">
      <c r="A151" s="20" t="n"/>
      <c r="B151" s="15" t="n"/>
      <c r="C151" s="15" t="n"/>
      <c r="D151" s="15" t="n"/>
      <c r="E151" s="15" t="n"/>
      <c r="F151" s="15" t="n"/>
      <c r="G151" s="15" t="n"/>
      <c r="H151" s="15" t="n"/>
    </row>
    <row r="152">
      <c r="A152" s="20" t="n"/>
      <c r="B152" s="15" t="n"/>
      <c r="C152" s="15" t="n"/>
      <c r="D152" s="15" t="n"/>
      <c r="E152" s="15" t="n"/>
      <c r="F152" s="15" t="n"/>
      <c r="G152" s="15" t="n"/>
      <c r="H152" s="15" t="n"/>
    </row>
    <row r="153">
      <c r="A153" s="20" t="n"/>
      <c r="B153" s="15" t="n"/>
      <c r="C153" s="15" t="n"/>
      <c r="D153" s="15" t="n"/>
      <c r="E153" s="15" t="n"/>
      <c r="F153" s="15" t="n"/>
      <c r="G153" s="15" t="n"/>
      <c r="H153" s="15" t="n"/>
    </row>
    <row r="154">
      <c r="A154" s="20" t="n"/>
      <c r="B154" s="15" t="n"/>
      <c r="C154" s="15" t="n"/>
      <c r="D154" s="15" t="n"/>
      <c r="E154" s="15" t="n"/>
      <c r="F154" s="15" t="n"/>
      <c r="G154" s="15" t="n"/>
      <c r="H154" s="15" t="n"/>
    </row>
    <row r="155">
      <c r="A155" s="20" t="n"/>
      <c r="B155" s="15" t="n"/>
      <c r="C155" s="15" t="n"/>
      <c r="D155" s="15" t="n"/>
      <c r="E155" s="15" t="n"/>
      <c r="F155" s="15" t="n"/>
      <c r="G155" s="15" t="n"/>
      <c r="H155" s="15" t="n"/>
    </row>
    <row r="156">
      <c r="A156" s="20" t="n"/>
      <c r="B156" s="15" t="n"/>
      <c r="C156" s="15" t="n"/>
      <c r="D156" s="15" t="n"/>
      <c r="E156" s="15" t="n"/>
      <c r="F156" s="15" t="n"/>
      <c r="G156" s="15" t="n"/>
      <c r="H156" s="15" t="n"/>
    </row>
    <row r="157">
      <c r="A157" s="20" t="n"/>
      <c r="B157" s="15" t="n"/>
      <c r="C157" s="15" t="n"/>
      <c r="D157" s="15" t="n"/>
      <c r="E157" s="15" t="n"/>
      <c r="F157" s="15" t="n"/>
      <c r="G157" s="15" t="n"/>
      <c r="H157" s="15" t="n"/>
    </row>
    <row r="158">
      <c r="A158" s="20" t="n"/>
      <c r="B158" s="15" t="n"/>
      <c r="C158" s="15" t="n"/>
      <c r="D158" s="15" t="n"/>
      <c r="E158" s="15" t="n"/>
      <c r="F158" s="15" t="n"/>
      <c r="G158" s="15" t="n"/>
      <c r="H158" s="15" t="n"/>
    </row>
    <row r="159">
      <c r="A159" s="20" t="n"/>
      <c r="B159" s="15" t="n"/>
      <c r="C159" s="15" t="n"/>
      <c r="D159" s="15" t="n"/>
      <c r="E159" s="15" t="n"/>
      <c r="F159" s="15" t="n"/>
      <c r="G159" s="15" t="n"/>
      <c r="H159" s="15" t="n"/>
    </row>
    <row r="160">
      <c r="A160" s="20" t="n"/>
      <c r="B160" s="15" t="n"/>
      <c r="C160" s="15" t="n"/>
      <c r="D160" s="15" t="n"/>
      <c r="E160" s="15" t="n"/>
      <c r="F160" s="15" t="n"/>
      <c r="G160" s="15" t="n"/>
      <c r="H160" s="15" t="n"/>
    </row>
    <row r="161">
      <c r="A161" s="20" t="n"/>
      <c r="B161" s="15" t="n"/>
      <c r="C161" s="15" t="n"/>
      <c r="D161" s="15" t="n"/>
      <c r="E161" s="15" t="n"/>
      <c r="F161" s="15" t="n"/>
      <c r="G161" s="15" t="n"/>
      <c r="H161" s="15" t="n"/>
    </row>
    <row r="162">
      <c r="A162" s="20" t="n"/>
      <c r="B162" s="15" t="n"/>
      <c r="C162" s="15" t="n"/>
      <c r="D162" s="15" t="n"/>
      <c r="E162" s="15" t="n"/>
      <c r="F162" s="15" t="n"/>
      <c r="G162" s="15" t="n"/>
      <c r="H162" s="15" t="n"/>
    </row>
    <row r="163">
      <c r="A163" s="20" t="n"/>
      <c r="B163" s="15" t="n"/>
      <c r="C163" s="15" t="n"/>
      <c r="D163" s="15" t="n"/>
      <c r="E163" s="15" t="n"/>
      <c r="F163" s="15" t="n"/>
      <c r="G163" s="15" t="n"/>
      <c r="H163" s="15" t="n"/>
    </row>
    <row r="164">
      <c r="A164" s="20" t="n"/>
      <c r="B164" s="15" t="n"/>
      <c r="C164" s="15" t="n"/>
      <c r="D164" s="15" t="n"/>
      <c r="E164" s="15" t="n"/>
      <c r="F164" s="15" t="n"/>
      <c r="G164" s="15" t="n"/>
      <c r="H164" s="15" t="n"/>
    </row>
    <row r="165">
      <c r="A165" s="20" t="n"/>
      <c r="B165" s="15" t="n"/>
      <c r="C165" s="15" t="n"/>
      <c r="D165" s="15" t="n"/>
      <c r="E165" s="15" t="n"/>
      <c r="F165" s="15" t="n"/>
      <c r="G165" s="15" t="n"/>
      <c r="H165" s="15" t="n"/>
    </row>
    <row r="166">
      <c r="A166" s="20" t="n"/>
      <c r="B166" s="15" t="n"/>
      <c r="C166" s="15" t="n"/>
      <c r="D166" s="15" t="n"/>
      <c r="E166" s="15" t="n"/>
      <c r="F166" s="15" t="n"/>
      <c r="G166" s="15" t="n"/>
      <c r="H166" s="15" t="n"/>
    </row>
    <row r="167">
      <c r="A167" s="20" t="n"/>
      <c r="B167" s="15" t="n"/>
      <c r="C167" s="15" t="n"/>
      <c r="D167" s="15" t="n"/>
      <c r="E167" s="15" t="n"/>
      <c r="F167" s="15" t="n"/>
      <c r="G167" s="15" t="n"/>
      <c r="H167" s="15" t="n"/>
    </row>
    <row r="168">
      <c r="A168" s="20" t="n"/>
      <c r="B168" s="15" t="n"/>
      <c r="C168" s="15" t="n"/>
      <c r="D168" s="15" t="n"/>
      <c r="E168" s="15" t="n"/>
      <c r="F168" s="15" t="n"/>
      <c r="G168" s="15" t="n"/>
      <c r="H168" s="15" t="n"/>
    </row>
    <row r="169">
      <c r="A169" s="20" t="n"/>
      <c r="B169" s="15" t="n"/>
      <c r="C169" s="15" t="n"/>
      <c r="D169" s="15" t="n"/>
      <c r="E169" s="15" t="n"/>
      <c r="F169" s="15" t="n"/>
      <c r="G169" s="15" t="n"/>
      <c r="H169" s="15" t="n"/>
    </row>
    <row r="170">
      <c r="A170" s="20" t="n"/>
      <c r="B170" s="15" t="n"/>
      <c r="C170" s="15" t="n"/>
      <c r="D170" s="15" t="n"/>
      <c r="E170" s="15" t="n"/>
      <c r="F170" s="15" t="n"/>
      <c r="G170" s="15" t="n"/>
      <c r="H170" s="15" t="n"/>
    </row>
    <row r="171">
      <c r="A171" s="20" t="n"/>
      <c r="B171" s="15" t="n"/>
      <c r="C171" s="15" t="n"/>
      <c r="D171" s="15" t="n"/>
      <c r="E171" s="15" t="n"/>
      <c r="F171" s="15" t="n"/>
      <c r="G171" s="15" t="n"/>
      <c r="H171" s="15" t="n"/>
    </row>
    <row r="172">
      <c r="A172" s="20" t="n"/>
      <c r="B172" s="15" t="n"/>
      <c r="C172" s="15" t="n"/>
      <c r="D172" s="15" t="n"/>
      <c r="E172" s="15" t="n"/>
      <c r="F172" s="15" t="n"/>
      <c r="G172" s="15" t="n"/>
      <c r="H172" s="15" t="n"/>
    </row>
    <row r="173">
      <c r="A173" s="20" t="n"/>
      <c r="B173" s="15" t="n"/>
      <c r="C173" s="15" t="n"/>
      <c r="D173" s="15" t="n"/>
      <c r="E173" s="15" t="n"/>
      <c r="F173" s="15" t="n"/>
      <c r="G173" s="15" t="n"/>
      <c r="H173" s="15" t="n"/>
    </row>
    <row r="174">
      <c r="A174" s="20" t="n"/>
      <c r="B174" s="15" t="n"/>
      <c r="C174" s="15" t="n"/>
      <c r="D174" s="15" t="n"/>
      <c r="E174" s="15" t="n"/>
      <c r="F174" s="15" t="n"/>
      <c r="G174" s="15" t="n"/>
      <c r="H174" s="15" t="n"/>
    </row>
    <row r="175">
      <c r="A175" s="20" t="n"/>
      <c r="B175" s="15" t="n"/>
      <c r="C175" s="15" t="n"/>
      <c r="D175" s="15" t="n"/>
      <c r="E175" s="15" t="n"/>
      <c r="F175" s="15" t="n"/>
      <c r="G175" s="15" t="n"/>
      <c r="H175" s="15" t="n"/>
    </row>
    <row r="176">
      <c r="A176" s="20" t="n"/>
      <c r="B176" s="15" t="n"/>
      <c r="C176" s="15" t="n"/>
      <c r="D176" s="15" t="n"/>
      <c r="E176" s="15" t="n"/>
      <c r="F176" s="15" t="n"/>
      <c r="G176" s="15" t="n"/>
      <c r="H176" s="15" t="n"/>
    </row>
    <row r="177">
      <c r="A177" s="20" t="n"/>
      <c r="B177" s="15" t="n"/>
      <c r="C177" s="15" t="n"/>
      <c r="D177" s="15" t="n"/>
      <c r="E177" s="15" t="n"/>
      <c r="F177" s="15" t="n"/>
      <c r="G177" s="15" t="n"/>
      <c r="H177" s="15" t="n"/>
    </row>
    <row r="178">
      <c r="A178" s="20" t="n"/>
      <c r="B178" s="15" t="n"/>
      <c r="C178" s="15" t="n"/>
      <c r="D178" s="15" t="n"/>
      <c r="E178" s="15" t="n"/>
      <c r="F178" s="15" t="n"/>
      <c r="G178" s="15" t="n"/>
      <c r="H178" s="15" t="n"/>
    </row>
    <row r="179">
      <c r="A179" s="20" t="n"/>
      <c r="B179" s="15" t="n"/>
      <c r="C179" s="15" t="n"/>
      <c r="D179" s="15" t="n"/>
      <c r="E179" s="15" t="n"/>
      <c r="F179" s="15" t="n"/>
      <c r="G179" s="15" t="n"/>
      <c r="H179" s="15" t="n"/>
    </row>
    <row r="180">
      <c r="A180" s="20" t="n"/>
      <c r="B180" s="15" t="n"/>
      <c r="C180" s="15" t="n"/>
      <c r="D180" s="15" t="n"/>
      <c r="E180" s="15" t="n"/>
      <c r="F180" s="15" t="n"/>
      <c r="G180" s="15" t="n"/>
      <c r="H180" s="15" t="n"/>
    </row>
    <row r="181">
      <c r="A181" s="20" t="n"/>
      <c r="B181" s="15" t="n"/>
      <c r="C181" s="15" t="n"/>
      <c r="D181" s="15" t="n"/>
      <c r="E181" s="15" t="n"/>
      <c r="F181" s="15" t="n"/>
      <c r="G181" s="15" t="n"/>
      <c r="H181" s="15" t="n"/>
    </row>
    <row r="182">
      <c r="A182" s="20" t="n"/>
      <c r="B182" s="15" t="n"/>
      <c r="C182" s="15" t="n"/>
      <c r="D182" s="15" t="n"/>
      <c r="E182" s="15" t="n"/>
      <c r="F182" s="15" t="n"/>
      <c r="G182" s="15" t="n"/>
      <c r="H182" s="15" t="n"/>
    </row>
    <row r="183">
      <c r="A183" s="20" t="n"/>
      <c r="B183" s="15" t="n"/>
      <c r="C183" s="15" t="n"/>
      <c r="D183" s="15" t="n"/>
      <c r="E183" s="15" t="n"/>
      <c r="F183" s="15" t="n"/>
      <c r="G183" s="15" t="n"/>
      <c r="H183" s="15" t="n"/>
    </row>
    <row r="184">
      <c r="A184" s="20" t="n"/>
      <c r="B184" s="15" t="n"/>
      <c r="C184" s="15" t="n"/>
      <c r="D184" s="15" t="n"/>
      <c r="E184" s="15" t="n"/>
      <c r="F184" s="15" t="n"/>
      <c r="G184" s="15" t="n"/>
      <c r="H184" s="15" t="n"/>
    </row>
    <row r="185">
      <c r="A185" s="20" t="n"/>
      <c r="B185" s="15" t="n"/>
      <c r="C185" s="15" t="n"/>
      <c r="D185" s="15" t="n"/>
      <c r="E185" s="15" t="n"/>
      <c r="F185" s="15" t="n"/>
      <c r="G185" s="15" t="n"/>
      <c r="H185" s="15" t="n"/>
    </row>
    <row r="186">
      <c r="A186" s="20" t="n"/>
      <c r="B186" s="15" t="n"/>
      <c r="C186" s="15" t="n"/>
      <c r="D186" s="15" t="n"/>
      <c r="E186" s="15" t="n"/>
      <c r="F186" s="15" t="n"/>
      <c r="G186" s="15" t="n"/>
      <c r="H186" s="15" t="n"/>
    </row>
    <row r="187">
      <c r="A187" s="20" t="n"/>
      <c r="B187" s="15" t="n"/>
      <c r="C187" s="15" t="n"/>
      <c r="D187" s="15" t="n"/>
      <c r="E187" s="15" t="n"/>
      <c r="F187" s="15" t="n"/>
      <c r="G187" s="15" t="n"/>
      <c r="H187" s="15" t="n"/>
    </row>
    <row r="188">
      <c r="A188" s="20" t="n"/>
      <c r="B188" s="15" t="n"/>
      <c r="C188" s="15" t="n"/>
      <c r="D188" s="15" t="n"/>
      <c r="E188" s="15" t="n"/>
      <c r="F188" s="15" t="n"/>
      <c r="G188" s="15" t="n"/>
      <c r="H188" s="15" t="n"/>
    </row>
    <row r="189">
      <c r="A189" s="20" t="n"/>
      <c r="B189" s="15" t="n"/>
      <c r="C189" s="15" t="n"/>
      <c r="D189" s="15" t="n"/>
      <c r="E189" s="15" t="n"/>
      <c r="F189" s="15" t="n"/>
      <c r="G189" s="15" t="n"/>
      <c r="H189" s="15" t="n"/>
    </row>
    <row r="190">
      <c r="A190" s="20" t="n"/>
      <c r="B190" s="15" t="n"/>
      <c r="C190" s="15" t="n"/>
      <c r="D190" s="15" t="n"/>
      <c r="E190" s="15" t="n"/>
      <c r="F190" s="15" t="n"/>
      <c r="G190" s="15" t="n"/>
      <c r="H190" s="15" t="n"/>
    </row>
    <row r="191">
      <c r="A191" s="20" t="n"/>
      <c r="B191" s="15" t="n"/>
      <c r="C191" s="15" t="n"/>
      <c r="D191" s="15" t="n"/>
      <c r="E191" s="15" t="n"/>
      <c r="F191" s="15" t="n"/>
      <c r="G191" s="15" t="n"/>
      <c r="H191" s="15" t="n"/>
    </row>
    <row r="192">
      <c r="A192" s="20" t="n"/>
      <c r="B192" s="15" t="n"/>
      <c r="C192" s="15" t="n"/>
      <c r="D192" s="15" t="n"/>
      <c r="E192" s="15" t="n"/>
      <c r="F192" s="15" t="n"/>
      <c r="G192" s="15" t="n"/>
      <c r="H192" s="15" t="n"/>
    </row>
    <row r="193">
      <c r="A193" s="20" t="n"/>
      <c r="B193" s="15" t="n"/>
      <c r="C193" s="15" t="n"/>
      <c r="D193" s="15" t="n"/>
      <c r="E193" s="15" t="n"/>
      <c r="F193" s="15" t="n"/>
      <c r="G193" s="15" t="n"/>
      <c r="H193" s="15" t="n"/>
    </row>
    <row r="194">
      <c r="A194" s="20" t="n"/>
      <c r="B194" s="15" t="n"/>
      <c r="C194" s="15" t="n"/>
      <c r="D194" s="15" t="n"/>
      <c r="E194" s="15" t="n"/>
      <c r="F194" s="15" t="n"/>
      <c r="G194" s="15" t="n"/>
      <c r="H194" s="15" t="n"/>
    </row>
    <row r="195">
      <c r="A195" s="20" t="n"/>
      <c r="B195" s="15" t="n"/>
      <c r="C195" s="15" t="n"/>
      <c r="D195" s="15" t="n"/>
      <c r="E195" s="15" t="n"/>
      <c r="F195" s="15" t="n"/>
      <c r="G195" s="15" t="n"/>
      <c r="H195" s="15" t="n"/>
    </row>
    <row r="196">
      <c r="A196" s="20" t="n"/>
      <c r="B196" s="15" t="n"/>
      <c r="C196" s="15" t="n"/>
      <c r="D196" s="15" t="n"/>
      <c r="E196" s="15" t="n"/>
      <c r="F196" s="15" t="n"/>
      <c r="G196" s="15" t="n"/>
      <c r="H196" s="15" t="n"/>
    </row>
    <row r="197">
      <c r="A197" s="20" t="n"/>
      <c r="B197" s="15" t="n"/>
      <c r="C197" s="15" t="n"/>
      <c r="D197" s="15" t="n"/>
      <c r="E197" s="15" t="n"/>
      <c r="F197" s="15" t="n"/>
      <c r="G197" s="15" t="n"/>
      <c r="H197" s="15" t="n"/>
    </row>
    <row r="198">
      <c r="A198" s="20" t="n"/>
      <c r="B198" s="15" t="n"/>
      <c r="C198" s="15" t="n"/>
      <c r="D198" s="15" t="n"/>
      <c r="E198" s="15" t="n"/>
      <c r="F198" s="15" t="n"/>
      <c r="G198" s="15" t="n"/>
      <c r="H198" s="15" t="n"/>
    </row>
    <row r="199">
      <c r="A199" s="20" t="n"/>
      <c r="B199" s="15" t="n"/>
      <c r="C199" s="15" t="n"/>
      <c r="D199" s="15" t="n"/>
      <c r="E199" s="15" t="n"/>
      <c r="F199" s="15" t="n"/>
      <c r="G199" s="15" t="n"/>
      <c r="H199" s="15" t="n"/>
    </row>
    <row r="200">
      <c r="A200" s="20" t="n"/>
      <c r="B200" s="15" t="n"/>
      <c r="C200" s="15" t="n"/>
      <c r="D200" s="15" t="n"/>
      <c r="E200" s="15" t="n"/>
      <c r="F200" s="15" t="n"/>
      <c r="G200" s="15" t="n"/>
      <c r="H200" s="15" t="n"/>
    </row>
    <row r="201">
      <c r="A201" s="20" t="n"/>
      <c r="B201" s="15" t="n"/>
      <c r="C201" s="15" t="n"/>
      <c r="D201" s="15" t="n"/>
      <c r="E201" s="15" t="n"/>
      <c r="F201" s="15" t="n"/>
      <c r="G201" s="15" t="n"/>
      <c r="H201" s="15" t="n"/>
    </row>
    <row r="202">
      <c r="A202" s="20" t="n"/>
      <c r="B202" s="15" t="n"/>
      <c r="C202" s="15" t="n"/>
      <c r="D202" s="15" t="n"/>
      <c r="E202" s="15" t="n"/>
      <c r="F202" s="15" t="n"/>
      <c r="G202" s="15" t="n"/>
      <c r="H202" s="15" t="n"/>
    </row>
    <row r="203">
      <c r="A203" s="20" t="n"/>
      <c r="B203" s="15" t="n"/>
      <c r="C203" s="15" t="n"/>
      <c r="D203" s="15" t="n"/>
      <c r="E203" s="15" t="n"/>
      <c r="F203" s="15" t="n"/>
      <c r="G203" s="15" t="n"/>
      <c r="H203" s="15" t="n"/>
    </row>
    <row r="204">
      <c r="A204" s="20" t="n"/>
      <c r="B204" s="15" t="n"/>
      <c r="C204" s="15" t="n"/>
      <c r="D204" s="15" t="n"/>
      <c r="E204" s="15" t="n"/>
      <c r="F204" s="15" t="n"/>
      <c r="G204" s="15" t="n"/>
      <c r="H204" s="15" t="n"/>
    </row>
    <row r="205">
      <c r="A205" s="20" t="n"/>
      <c r="B205" s="15" t="n"/>
      <c r="C205" s="15" t="n"/>
      <c r="D205" s="15" t="n"/>
      <c r="E205" s="15" t="n"/>
      <c r="F205" s="15" t="n"/>
      <c r="G205" s="15" t="n"/>
      <c r="H205" s="15" t="n"/>
    </row>
    <row r="206">
      <c r="A206" s="20" t="n"/>
      <c r="B206" s="15" t="n"/>
      <c r="C206" s="15" t="n"/>
      <c r="D206" s="15" t="n"/>
      <c r="E206" s="15" t="n"/>
      <c r="F206" s="15" t="n"/>
      <c r="G206" s="15" t="n"/>
      <c r="H206" s="15" t="n"/>
    </row>
    <row r="207">
      <c r="A207" s="20" t="n"/>
      <c r="B207" s="15" t="n"/>
      <c r="C207" s="15" t="n"/>
      <c r="D207" s="15" t="n"/>
      <c r="E207" s="15" t="n"/>
      <c r="F207" s="15" t="n"/>
      <c r="G207" s="15" t="n"/>
      <c r="H207" s="15" t="n"/>
    </row>
    <row r="208">
      <c r="A208" s="20" t="n"/>
      <c r="B208" s="15" t="n"/>
      <c r="C208" s="15" t="n"/>
      <c r="D208" s="15" t="n"/>
      <c r="E208" s="15" t="n"/>
      <c r="F208" s="15" t="n"/>
      <c r="G208" s="15" t="n"/>
      <c r="H208" s="15" t="n"/>
    </row>
    <row r="209">
      <c r="A209" s="20" t="n"/>
      <c r="B209" s="15" t="n"/>
      <c r="C209" s="15" t="n"/>
      <c r="D209" s="15" t="n"/>
      <c r="E209" s="15" t="n"/>
      <c r="F209" s="15" t="n"/>
      <c r="G209" s="15" t="n"/>
      <c r="H209" s="15" t="n"/>
    </row>
    <row r="210">
      <c r="A210" s="20" t="n"/>
      <c r="B210" s="15" t="n"/>
      <c r="C210" s="15" t="n"/>
      <c r="D210" s="15" t="n"/>
      <c r="E210" s="15" t="n"/>
      <c r="F210" s="15" t="n"/>
      <c r="G210" s="15" t="n"/>
      <c r="H210" s="15" t="n"/>
    </row>
    <row r="211">
      <c r="A211" s="20" t="n"/>
      <c r="B211" s="15" t="n"/>
      <c r="C211" s="15" t="n"/>
      <c r="D211" s="15" t="n"/>
      <c r="E211" s="15" t="n"/>
      <c r="F211" s="15" t="n"/>
      <c r="G211" s="15" t="n"/>
      <c r="H211" s="15" t="n"/>
    </row>
    <row r="212">
      <c r="A212" s="20" t="n"/>
      <c r="B212" s="15" t="n"/>
      <c r="C212" s="15" t="n"/>
      <c r="D212" s="15" t="n"/>
      <c r="E212" s="15" t="n"/>
      <c r="F212" s="15" t="n"/>
      <c r="G212" s="15" t="n"/>
      <c r="H212" s="15" t="n"/>
    </row>
    <row r="213">
      <c r="A213" s="20" t="n"/>
      <c r="B213" s="15" t="n"/>
      <c r="C213" s="15" t="n"/>
      <c r="D213" s="15" t="n"/>
      <c r="E213" s="15" t="n"/>
      <c r="F213" s="15" t="n"/>
      <c r="G213" s="15" t="n"/>
      <c r="H213" s="15" t="n"/>
    </row>
    <row r="214">
      <c r="A214" s="20" t="n"/>
      <c r="B214" s="15" t="n"/>
      <c r="C214" s="15" t="n"/>
      <c r="D214" s="15" t="n"/>
      <c r="E214" s="15" t="n"/>
      <c r="F214" s="15" t="n"/>
      <c r="G214" s="15" t="n"/>
      <c r="H214" s="15" t="n"/>
    </row>
    <row r="215">
      <c r="A215" s="20" t="n"/>
      <c r="B215" s="15" t="n"/>
      <c r="C215" s="15" t="n"/>
      <c r="D215" s="15" t="n"/>
      <c r="E215" s="15" t="n"/>
      <c r="F215" s="15" t="n"/>
      <c r="G215" s="15" t="n"/>
      <c r="H215" s="15" t="n"/>
    </row>
    <row r="216">
      <c r="A216" s="20" t="n"/>
      <c r="B216" s="15" t="n"/>
      <c r="C216" s="15" t="n"/>
      <c r="D216" s="15" t="n"/>
      <c r="E216" s="15" t="n"/>
      <c r="F216" s="15" t="n"/>
      <c r="G216" s="15" t="n"/>
      <c r="H216" s="15" t="n"/>
    </row>
    <row r="217">
      <c r="A217" s="20" t="n"/>
      <c r="B217" s="15" t="n"/>
      <c r="C217" s="15" t="n"/>
      <c r="D217" s="15" t="n"/>
      <c r="E217" s="15" t="n"/>
      <c r="F217" s="15" t="n"/>
      <c r="G217" s="15" t="n"/>
      <c r="H217" s="15" t="n"/>
    </row>
    <row r="218">
      <c r="A218" s="20" t="n"/>
      <c r="B218" s="15" t="n"/>
      <c r="C218" s="15" t="n"/>
      <c r="D218" s="15" t="n"/>
      <c r="E218" s="15" t="n"/>
      <c r="F218" s="15" t="n"/>
      <c r="G218" s="15" t="n"/>
      <c r="H218" s="15" t="n"/>
    </row>
    <row r="219">
      <c r="A219" s="20" t="n"/>
      <c r="B219" s="15" t="n"/>
      <c r="C219" s="15" t="n"/>
      <c r="D219" s="15" t="n"/>
      <c r="E219" s="15" t="n"/>
      <c r="F219" s="15" t="n"/>
      <c r="G219" s="15" t="n"/>
      <c r="H219" s="15" t="n"/>
    </row>
    <row r="220">
      <c r="A220" s="20" t="n"/>
      <c r="B220" s="15" t="n"/>
      <c r="C220" s="15" t="n"/>
      <c r="D220" s="15" t="n"/>
      <c r="E220" s="15" t="n"/>
      <c r="F220" s="15" t="n"/>
      <c r="G220" s="15" t="n"/>
      <c r="H220" s="15" t="n"/>
    </row>
    <row r="221">
      <c r="A221" s="20" t="n"/>
      <c r="B221" s="15" t="n"/>
      <c r="C221" s="15" t="n"/>
      <c r="D221" s="15" t="n"/>
      <c r="E221" s="15" t="n"/>
      <c r="F221" s="15" t="n"/>
      <c r="G221" s="15" t="n"/>
      <c r="H221" s="15" t="n"/>
    </row>
    <row r="222">
      <c r="A222" s="20" t="n"/>
      <c r="B222" s="15" t="n"/>
      <c r="C222" s="15" t="n"/>
      <c r="D222" s="15" t="n"/>
      <c r="E222" s="15" t="n"/>
      <c r="F222" s="15" t="n"/>
      <c r="G222" s="15" t="n"/>
      <c r="H222" s="15" t="n"/>
    </row>
    <row r="223">
      <c r="A223" s="20" t="n"/>
      <c r="B223" s="15" t="n"/>
      <c r="C223" s="15" t="n"/>
      <c r="D223" s="15" t="n"/>
      <c r="E223" s="15" t="n"/>
      <c r="F223" s="15" t="n"/>
      <c r="G223" s="15" t="n"/>
      <c r="H223" s="15" t="n"/>
    </row>
    <row r="224">
      <c r="A224" s="20" t="n"/>
      <c r="B224" s="15" t="n"/>
      <c r="C224" s="15" t="n"/>
      <c r="D224" s="15" t="n"/>
      <c r="E224" s="15" t="n"/>
      <c r="F224" s="15" t="n"/>
      <c r="G224" s="15" t="n"/>
      <c r="H224" s="15" t="n"/>
    </row>
    <row r="225">
      <c r="A225" s="20" t="n"/>
      <c r="B225" s="15" t="n"/>
      <c r="C225" s="15" t="n"/>
      <c r="D225" s="15" t="n"/>
      <c r="E225" s="15" t="n"/>
      <c r="F225" s="15" t="n"/>
      <c r="G225" s="15" t="n"/>
      <c r="H225" s="15" t="n"/>
    </row>
    <row r="226">
      <c r="A226" s="20" t="n"/>
      <c r="B226" s="15" t="n"/>
      <c r="C226" s="15" t="n"/>
      <c r="D226" s="15" t="n"/>
      <c r="E226" s="15" t="n"/>
      <c r="F226" s="15" t="n"/>
      <c r="G226" s="15" t="n"/>
      <c r="H226" s="15" t="n"/>
    </row>
    <row r="227">
      <c r="A227" s="20" t="n"/>
      <c r="B227" s="15" t="n"/>
      <c r="C227" s="15" t="n"/>
      <c r="D227" s="15" t="n"/>
      <c r="E227" s="15" t="n"/>
      <c r="F227" s="15" t="n"/>
      <c r="G227" s="15" t="n"/>
      <c r="H227" s="15" t="n"/>
    </row>
    <row r="228">
      <c r="A228" s="20" t="n"/>
      <c r="B228" s="15" t="n"/>
      <c r="C228" s="15" t="n"/>
      <c r="D228" s="15" t="n"/>
      <c r="E228" s="15" t="n"/>
      <c r="F228" s="15" t="n"/>
      <c r="G228" s="15" t="n"/>
      <c r="H228" s="15" t="n"/>
    </row>
    <row r="229">
      <c r="A229" s="20" t="n"/>
      <c r="B229" s="15" t="n"/>
      <c r="C229" s="15" t="n"/>
      <c r="D229" s="15" t="n"/>
      <c r="E229" s="15" t="n"/>
      <c r="F229" s="15" t="n"/>
      <c r="G229" s="15" t="n"/>
      <c r="H229" s="15" t="n"/>
    </row>
    <row r="230">
      <c r="A230" s="20" t="n"/>
      <c r="B230" s="15" t="n"/>
      <c r="C230" s="15" t="n"/>
      <c r="D230" s="15" t="n"/>
      <c r="E230" s="15" t="n"/>
      <c r="F230" s="15" t="n"/>
      <c r="G230" s="15" t="n"/>
      <c r="H230" s="15" t="n"/>
    </row>
    <row r="231">
      <c r="A231" s="20" t="n"/>
      <c r="B231" s="15" t="n"/>
      <c r="C231" s="15" t="n"/>
      <c r="D231" s="15" t="n"/>
      <c r="E231" s="15" t="n"/>
      <c r="F231" s="15" t="n"/>
      <c r="G231" s="15" t="n"/>
      <c r="H231" s="15" t="n"/>
    </row>
    <row r="232">
      <c r="A232" s="20" t="n"/>
      <c r="B232" s="15" t="n"/>
      <c r="C232" s="15" t="n"/>
      <c r="D232" s="15" t="n"/>
      <c r="E232" s="15" t="n"/>
      <c r="F232" s="15" t="n"/>
      <c r="G232" s="15" t="n"/>
      <c r="H232" s="15" t="n"/>
    </row>
    <row r="233">
      <c r="A233" s="20" t="n"/>
      <c r="B233" s="15" t="n"/>
      <c r="C233" s="15" t="n"/>
      <c r="D233" s="15" t="n"/>
      <c r="E233" s="15" t="n"/>
      <c r="F233" s="15" t="n"/>
      <c r="G233" s="15" t="n"/>
      <c r="H233" s="15" t="n"/>
    </row>
    <row r="234">
      <c r="A234" s="20" t="n"/>
      <c r="B234" s="15" t="n"/>
      <c r="C234" s="15" t="n"/>
      <c r="D234" s="15" t="n"/>
      <c r="E234" s="15" t="n"/>
      <c r="F234" s="15" t="n"/>
      <c r="G234" s="15" t="n"/>
      <c r="H234" s="15" t="n"/>
    </row>
    <row r="235">
      <c r="A235" s="20" t="n"/>
      <c r="B235" s="15" t="n"/>
      <c r="C235" s="15" t="n"/>
      <c r="D235" s="15" t="n"/>
      <c r="E235" s="15" t="n"/>
      <c r="F235" s="15" t="n"/>
      <c r="G235" s="15" t="n"/>
      <c r="H235" s="15" t="n"/>
    </row>
    <row r="236">
      <c r="A236" s="20" t="n"/>
      <c r="B236" s="15" t="n"/>
      <c r="C236" s="15" t="n"/>
      <c r="D236" s="15" t="n"/>
      <c r="E236" s="15" t="n"/>
      <c r="F236" s="15" t="n"/>
      <c r="G236" s="15" t="n"/>
      <c r="H236" s="15" t="n"/>
    </row>
    <row r="237">
      <c r="A237" s="20" t="n"/>
      <c r="B237" s="15" t="n"/>
      <c r="C237" s="15" t="n"/>
      <c r="D237" s="15" t="n"/>
      <c r="E237" s="15" t="n"/>
      <c r="F237" s="15" t="n"/>
      <c r="G237" s="15" t="n"/>
      <c r="H237" s="15" t="n"/>
    </row>
    <row r="238">
      <c r="A238" s="20" t="n"/>
      <c r="B238" s="15" t="n"/>
      <c r="C238" s="15" t="n"/>
      <c r="D238" s="15" t="n"/>
      <c r="E238" s="15" t="n"/>
      <c r="F238" s="15" t="n"/>
      <c r="G238" s="15" t="n"/>
      <c r="H238" s="15" t="n"/>
    </row>
    <row r="239">
      <c r="A239" s="20" t="n"/>
      <c r="B239" s="15" t="n"/>
      <c r="C239" s="15" t="n"/>
      <c r="D239" s="15" t="n"/>
      <c r="E239" s="15" t="n"/>
      <c r="F239" s="15" t="n"/>
      <c r="G239" s="15" t="n"/>
      <c r="H239" s="15" t="n"/>
    </row>
    <row r="240">
      <c r="A240" s="20" t="n"/>
      <c r="B240" s="15" t="n"/>
      <c r="C240" s="15" t="n"/>
      <c r="D240" s="15" t="n"/>
      <c r="E240" s="15" t="n"/>
      <c r="F240" s="15" t="n"/>
      <c r="G240" s="15" t="n"/>
      <c r="H240" s="15" t="n"/>
    </row>
    <row r="241">
      <c r="A241" s="20" t="n"/>
      <c r="B241" s="15" t="n"/>
      <c r="C241" s="15" t="n"/>
      <c r="D241" s="15" t="n"/>
      <c r="E241" s="15" t="n"/>
      <c r="F241" s="15" t="n"/>
      <c r="G241" s="15" t="n"/>
      <c r="H241" s="15" t="n"/>
    </row>
    <row r="242">
      <c r="A242" s="20" t="n"/>
      <c r="B242" s="15" t="n"/>
      <c r="C242" s="15" t="n"/>
      <c r="D242" s="15" t="n"/>
      <c r="E242" s="15" t="n"/>
      <c r="F242" s="15" t="n"/>
      <c r="G242" s="15" t="n"/>
      <c r="H242" s="15" t="n"/>
    </row>
    <row r="243">
      <c r="A243" s="20" t="n"/>
      <c r="B243" s="15" t="n"/>
      <c r="C243" s="15" t="n"/>
      <c r="D243" s="15" t="n"/>
      <c r="E243" s="15" t="n"/>
      <c r="F243" s="15" t="n"/>
      <c r="G243" s="15" t="n"/>
      <c r="H243" s="15" t="n"/>
    </row>
    <row r="244">
      <c r="A244" s="20" t="n"/>
      <c r="B244" s="15" t="n"/>
      <c r="C244" s="15" t="n"/>
      <c r="D244" s="15" t="n"/>
      <c r="E244" s="15" t="n"/>
      <c r="F244" s="15" t="n"/>
      <c r="G244" s="15" t="n"/>
      <c r="H244" s="15" t="n"/>
    </row>
    <row r="245">
      <c r="A245" s="20" t="n"/>
      <c r="B245" s="15" t="n"/>
      <c r="C245" s="15" t="n"/>
      <c r="D245" s="15" t="n"/>
      <c r="E245" s="15" t="n"/>
      <c r="F245" s="15" t="n"/>
      <c r="G245" s="15" t="n"/>
      <c r="H245" s="15" t="n"/>
    </row>
    <row r="246">
      <c r="A246" s="20" t="n"/>
      <c r="B246" s="15" t="n"/>
      <c r="C246" s="15" t="n"/>
      <c r="D246" s="15" t="n"/>
      <c r="E246" s="15" t="n"/>
      <c r="F246" s="15" t="n"/>
      <c r="G246" s="15" t="n"/>
      <c r="H246" s="15" t="n"/>
    </row>
    <row r="247">
      <c r="A247" s="20" t="n"/>
      <c r="B247" s="15" t="n"/>
      <c r="C247" s="15" t="n"/>
      <c r="D247" s="15" t="n"/>
      <c r="E247" s="15" t="n"/>
      <c r="F247" s="15" t="n"/>
      <c r="G247" s="15" t="n"/>
      <c r="H247" s="15" t="n"/>
    </row>
    <row r="248">
      <c r="A248" s="20" t="n"/>
      <c r="B248" s="15" t="n"/>
      <c r="C248" s="15" t="n"/>
      <c r="D248" s="15" t="n"/>
      <c r="E248" s="15" t="n"/>
      <c r="F248" s="15" t="n"/>
      <c r="G248" s="15" t="n"/>
      <c r="H248" s="15" t="n"/>
    </row>
    <row r="249">
      <c r="A249" s="20" t="n"/>
      <c r="B249" s="15" t="n"/>
      <c r="C249" s="15" t="n"/>
      <c r="D249" s="15" t="n"/>
      <c r="E249" s="15" t="n"/>
      <c r="F249" s="15" t="n"/>
      <c r="G249" s="15" t="n"/>
      <c r="H249" s="15" t="n"/>
    </row>
    <row r="250">
      <c r="A250" s="20" t="n"/>
      <c r="B250" s="15" t="n"/>
      <c r="C250" s="15" t="n"/>
      <c r="D250" s="15" t="n"/>
      <c r="E250" s="15" t="n"/>
      <c r="F250" s="15" t="n"/>
      <c r="G250" s="15" t="n"/>
      <c r="H250" s="15" t="n"/>
    </row>
    <row r="251">
      <c r="A251" s="20" t="n"/>
      <c r="B251" s="15" t="n"/>
      <c r="C251" s="15" t="n"/>
      <c r="D251" s="15" t="n"/>
      <c r="E251" s="15" t="n"/>
      <c r="F251" s="15" t="n"/>
      <c r="G251" s="15" t="n"/>
      <c r="H251" s="15" t="n"/>
    </row>
    <row r="252">
      <c r="A252" s="20" t="n"/>
      <c r="B252" s="15" t="n"/>
      <c r="C252" s="15" t="n"/>
      <c r="D252" s="15" t="n"/>
      <c r="E252" s="15" t="n"/>
      <c r="F252" s="15" t="n"/>
      <c r="G252" s="15" t="n"/>
      <c r="H252" s="15" t="n"/>
    </row>
    <row r="253">
      <c r="A253" s="20" t="n"/>
      <c r="B253" s="15" t="n"/>
      <c r="C253" s="15" t="n"/>
      <c r="D253" s="15" t="n"/>
      <c r="E253" s="15" t="n"/>
      <c r="F253" s="15" t="n"/>
      <c r="G253" s="15" t="n"/>
      <c r="H253" s="15" t="n"/>
    </row>
    <row r="254">
      <c r="A254" s="20" t="n"/>
      <c r="B254" s="15" t="n"/>
      <c r="C254" s="15" t="n"/>
      <c r="D254" s="15" t="n"/>
      <c r="E254" s="15" t="n"/>
      <c r="F254" s="15" t="n"/>
      <c r="G254" s="15" t="n"/>
      <c r="H254" s="15" t="n"/>
    </row>
    <row r="255">
      <c r="A255" s="20" t="n"/>
      <c r="B255" s="15" t="n"/>
      <c r="C255" s="15" t="n"/>
      <c r="D255" s="15" t="n"/>
      <c r="E255" s="15" t="n"/>
      <c r="F255" s="15" t="n"/>
      <c r="G255" s="15" t="n"/>
      <c r="H255" s="15" t="n"/>
    </row>
    <row r="256">
      <c r="A256" s="20" t="n"/>
      <c r="B256" s="15" t="n"/>
      <c r="C256" s="15" t="n"/>
      <c r="D256" s="15" t="n"/>
      <c r="E256" s="15" t="n"/>
      <c r="F256" s="15" t="n"/>
      <c r="G256" s="15" t="n"/>
      <c r="H256" s="15" t="n"/>
    </row>
    <row r="257">
      <c r="A257" s="20" t="n"/>
      <c r="B257" s="15" t="n"/>
      <c r="C257" s="15" t="n"/>
      <c r="D257" s="15" t="n"/>
      <c r="E257" s="15" t="n"/>
      <c r="F257" s="15" t="n"/>
      <c r="G257" s="15" t="n"/>
      <c r="H257" s="15" t="n"/>
    </row>
    <row r="258">
      <c r="A258" s="20" t="n"/>
      <c r="B258" s="15" t="n"/>
      <c r="C258" s="15" t="n"/>
      <c r="D258" s="15" t="n"/>
      <c r="E258" s="15" t="n"/>
      <c r="F258" s="15" t="n"/>
      <c r="G258" s="15" t="n"/>
      <c r="H258" s="15" t="n"/>
    </row>
    <row r="259">
      <c r="A259" s="20" t="n"/>
      <c r="B259" s="15" t="n"/>
      <c r="C259" s="15" t="n"/>
      <c r="D259" s="15" t="n"/>
      <c r="E259" s="15" t="n"/>
      <c r="F259" s="15" t="n"/>
      <c r="G259" s="15" t="n"/>
      <c r="H259" s="15" t="n"/>
    </row>
    <row r="260">
      <c r="A260" s="20" t="n"/>
      <c r="B260" s="15" t="n"/>
      <c r="C260" s="15" t="n"/>
      <c r="D260" s="15" t="n"/>
      <c r="E260" s="15" t="n"/>
      <c r="F260" s="15" t="n"/>
      <c r="G260" s="15" t="n"/>
      <c r="H260" s="15" t="n"/>
    </row>
    <row r="261">
      <c r="A261" s="20" t="n"/>
      <c r="B261" s="15" t="n"/>
      <c r="C261" s="15" t="n"/>
      <c r="D261" s="15" t="n"/>
      <c r="E261" s="15" t="n"/>
      <c r="F261" s="15" t="n"/>
      <c r="G261" s="15" t="n"/>
      <c r="H261" s="15" t="n"/>
    </row>
    <row r="262">
      <c r="A262" s="20" t="n"/>
      <c r="B262" s="15" t="n"/>
      <c r="C262" s="15" t="n"/>
      <c r="D262" s="15" t="n"/>
      <c r="E262" s="15" t="n"/>
      <c r="F262" s="15" t="n"/>
      <c r="G262" s="15" t="n"/>
      <c r="H262" s="15" t="n"/>
    </row>
    <row r="263">
      <c r="A263" s="20" t="n"/>
      <c r="B263" s="15" t="n"/>
      <c r="C263" s="15" t="n"/>
      <c r="D263" s="15" t="n"/>
      <c r="E263" s="15" t="n"/>
      <c r="F263" s="15" t="n"/>
      <c r="G263" s="15" t="n"/>
      <c r="H263" s="15" t="n"/>
    </row>
    <row r="264">
      <c r="A264" s="20" t="n"/>
      <c r="B264" s="15" t="n"/>
      <c r="C264" s="15" t="n"/>
      <c r="D264" s="15" t="n"/>
      <c r="E264" s="15" t="n"/>
      <c r="F264" s="15" t="n"/>
      <c r="G264" s="15" t="n"/>
      <c r="H264" s="15" t="n"/>
    </row>
    <row r="265">
      <c r="A265" s="20" t="n"/>
      <c r="B265" s="15" t="n"/>
      <c r="C265" s="15" t="n"/>
      <c r="D265" s="15" t="n"/>
      <c r="E265" s="15" t="n"/>
      <c r="F265" s="15" t="n"/>
      <c r="G265" s="15" t="n"/>
      <c r="H265" s="15" t="n"/>
    </row>
    <row r="266">
      <c r="A266" s="20" t="n"/>
      <c r="B266" s="15" t="n"/>
      <c r="C266" s="15" t="n"/>
      <c r="D266" s="15" t="n"/>
      <c r="E266" s="15" t="n"/>
      <c r="F266" s="15" t="n"/>
      <c r="G266" s="15" t="n"/>
      <c r="H266" s="15" t="n"/>
    </row>
    <row r="267">
      <c r="A267" s="20" t="n"/>
      <c r="B267" s="15" t="n"/>
      <c r="C267" s="15" t="n"/>
      <c r="D267" s="15" t="n"/>
      <c r="E267" s="15" t="n"/>
      <c r="F267" s="15" t="n"/>
      <c r="G267" s="15" t="n"/>
      <c r="H267" s="15" t="n"/>
    </row>
    <row r="268">
      <c r="A268" s="20" t="n"/>
      <c r="B268" s="15" t="n"/>
      <c r="C268" s="15" t="n"/>
      <c r="D268" s="15" t="n"/>
      <c r="E268" s="15" t="n"/>
      <c r="F268" s="15" t="n"/>
      <c r="G268" s="15" t="n"/>
      <c r="H268" s="15" t="n"/>
    </row>
    <row r="269">
      <c r="A269" s="20" t="n"/>
      <c r="B269" s="15" t="n"/>
      <c r="C269" s="15" t="n"/>
      <c r="D269" s="15" t="n"/>
      <c r="E269" s="15" t="n"/>
      <c r="F269" s="15" t="n"/>
      <c r="G269" s="15" t="n"/>
      <c r="H269" s="15" t="n"/>
    </row>
    <row r="270">
      <c r="A270" s="20" t="n"/>
      <c r="B270" s="15" t="n"/>
      <c r="C270" s="15" t="n"/>
      <c r="D270" s="15" t="n"/>
      <c r="E270" s="15" t="n"/>
      <c r="F270" s="15" t="n"/>
      <c r="G270" s="15" t="n"/>
      <c r="H270" s="15" t="n"/>
    </row>
    <row r="271">
      <c r="A271" s="20" t="n"/>
      <c r="B271" s="15" t="n"/>
      <c r="C271" s="15" t="n"/>
      <c r="D271" s="15" t="n"/>
      <c r="E271" s="15" t="n"/>
      <c r="F271" s="15" t="n"/>
      <c r="G271" s="15" t="n"/>
      <c r="H271" s="15" t="n"/>
    </row>
    <row r="272">
      <c r="A272" s="20" t="n"/>
      <c r="B272" s="15" t="n"/>
      <c r="C272" s="15" t="n"/>
      <c r="D272" s="15" t="n"/>
      <c r="E272" s="15" t="n"/>
      <c r="F272" s="15" t="n"/>
      <c r="G272" s="15" t="n"/>
      <c r="H272" s="15" t="n"/>
    </row>
    <row r="273">
      <c r="A273" s="20" t="n"/>
      <c r="B273" s="15" t="n"/>
      <c r="C273" s="15" t="n"/>
      <c r="D273" s="15" t="n"/>
      <c r="E273" s="15" t="n"/>
      <c r="F273" s="15" t="n"/>
      <c r="G273" s="15" t="n"/>
      <c r="H273" s="15" t="n"/>
    </row>
    <row r="274">
      <c r="A274" s="20" t="n"/>
      <c r="B274" s="15" t="n"/>
      <c r="C274" s="15" t="n"/>
      <c r="D274" s="15" t="n"/>
      <c r="E274" s="15" t="n"/>
      <c r="F274" s="15" t="n"/>
      <c r="G274" s="15" t="n"/>
      <c r="H274" s="15" t="n"/>
    </row>
    <row r="275">
      <c r="A275" s="20" t="n"/>
      <c r="B275" s="15" t="n"/>
      <c r="C275" s="15" t="n"/>
      <c r="D275" s="15" t="n"/>
      <c r="E275" s="15" t="n"/>
      <c r="F275" s="15" t="n"/>
      <c r="G275" s="15" t="n"/>
      <c r="H275" s="15" t="n"/>
    </row>
    <row r="276">
      <c r="A276" s="20" t="n"/>
      <c r="B276" s="15" t="n"/>
      <c r="C276" s="15" t="n"/>
      <c r="D276" s="15" t="n"/>
      <c r="E276" s="15" t="n"/>
      <c r="F276" s="15" t="n"/>
      <c r="G276" s="15" t="n"/>
      <c r="H276" s="15" t="n"/>
    </row>
    <row r="277">
      <c r="A277" s="20" t="n"/>
      <c r="B277" s="15" t="n"/>
      <c r="C277" s="15" t="n"/>
      <c r="D277" s="15" t="n"/>
      <c r="E277" s="15" t="n"/>
      <c r="F277" s="15" t="n"/>
      <c r="G277" s="15" t="n"/>
      <c r="H277" s="15" t="n"/>
    </row>
    <row r="278">
      <c r="A278" s="20" t="n"/>
      <c r="B278" s="15" t="n"/>
      <c r="C278" s="15" t="n"/>
      <c r="D278" s="15" t="n"/>
      <c r="E278" s="15" t="n"/>
      <c r="F278" s="15" t="n"/>
      <c r="G278" s="15" t="n"/>
      <c r="H278" s="15" t="n"/>
    </row>
    <row r="279">
      <c r="A279" s="20" t="n"/>
      <c r="B279" s="15" t="n"/>
      <c r="C279" s="15" t="n"/>
      <c r="D279" s="15" t="n"/>
      <c r="E279" s="15" t="n"/>
      <c r="F279" s="15" t="n"/>
      <c r="G279" s="15" t="n"/>
      <c r="H279" s="15" t="n"/>
    </row>
    <row r="280">
      <c r="A280" s="20" t="n"/>
      <c r="B280" s="15" t="n"/>
      <c r="C280" s="15" t="n"/>
      <c r="D280" s="15" t="n"/>
      <c r="E280" s="15" t="n"/>
      <c r="F280" s="15" t="n"/>
      <c r="G280" s="15" t="n"/>
      <c r="H280" s="15" t="n"/>
    </row>
    <row r="281">
      <c r="A281" s="20" t="n"/>
      <c r="B281" s="15" t="n"/>
      <c r="C281" s="15" t="n"/>
      <c r="D281" s="15" t="n"/>
      <c r="E281" s="15" t="n"/>
      <c r="F281" s="15" t="n"/>
      <c r="G281" s="15" t="n"/>
      <c r="H281" s="15" t="n"/>
    </row>
    <row r="282">
      <c r="A282" s="20" t="n"/>
      <c r="B282" s="15" t="n"/>
      <c r="C282" s="15" t="n"/>
      <c r="D282" s="15" t="n"/>
      <c r="E282" s="15" t="n"/>
      <c r="F282" s="15" t="n"/>
      <c r="G282" s="15" t="n"/>
      <c r="H282" s="15" t="n"/>
    </row>
    <row r="283">
      <c r="A283" s="20" t="n"/>
      <c r="B283" s="15" t="n"/>
      <c r="C283" s="15" t="n"/>
      <c r="D283" s="15" t="n"/>
      <c r="E283" s="15" t="n"/>
      <c r="F283" s="15" t="n"/>
      <c r="G283" s="15" t="n"/>
      <c r="H283" s="15" t="n"/>
    </row>
    <row r="284">
      <c r="A284" s="20" t="n"/>
      <c r="B284" s="15" t="n"/>
      <c r="C284" s="15" t="n"/>
      <c r="D284" s="15" t="n"/>
      <c r="E284" s="15" t="n"/>
      <c r="F284" s="15" t="n"/>
      <c r="G284" s="15" t="n"/>
      <c r="H284" s="15" t="n"/>
    </row>
    <row r="285">
      <c r="A285" s="20" t="n"/>
      <c r="B285" s="15" t="n"/>
      <c r="C285" s="15" t="n"/>
      <c r="D285" s="15" t="n"/>
      <c r="E285" s="15" t="n"/>
      <c r="F285" s="15" t="n"/>
      <c r="G285" s="15" t="n"/>
      <c r="H285" s="15" t="n"/>
    </row>
    <row r="286">
      <c r="A286" s="20" t="n"/>
      <c r="B286" s="15" t="n"/>
      <c r="C286" s="15" t="n"/>
      <c r="D286" s="15" t="n"/>
      <c r="E286" s="15" t="n"/>
      <c r="F286" s="15" t="n"/>
      <c r="G286" s="15" t="n"/>
      <c r="H286" s="15" t="n"/>
    </row>
    <row r="287">
      <c r="A287" s="20" t="n"/>
      <c r="B287" s="15" t="n"/>
      <c r="C287" s="15" t="n"/>
      <c r="D287" s="15" t="n"/>
      <c r="E287" s="15" t="n"/>
      <c r="F287" s="15" t="n"/>
      <c r="G287" s="15" t="n"/>
      <c r="H287" s="15" t="n"/>
    </row>
    <row r="288">
      <c r="A288" s="20" t="n"/>
      <c r="B288" s="15" t="n"/>
      <c r="C288" s="15" t="n"/>
      <c r="D288" s="15" t="n"/>
      <c r="E288" s="15" t="n"/>
      <c r="F288" s="15" t="n"/>
      <c r="G288" s="15" t="n"/>
      <c r="H288" s="15" t="n"/>
    </row>
    <row r="289">
      <c r="A289" s="20" t="n"/>
      <c r="B289" s="15" t="n"/>
      <c r="C289" s="15" t="n"/>
      <c r="D289" s="15" t="n"/>
      <c r="E289" s="15" t="n"/>
      <c r="F289" s="15" t="n"/>
      <c r="G289" s="15" t="n"/>
      <c r="H289" s="15" t="n"/>
    </row>
    <row r="290">
      <c r="A290" s="20" t="n"/>
      <c r="B290" s="15" t="n"/>
      <c r="C290" s="15" t="n"/>
      <c r="D290" s="15" t="n"/>
      <c r="E290" s="15" t="n"/>
      <c r="F290" s="15" t="n"/>
      <c r="G290" s="15" t="n"/>
      <c r="H290" s="15" t="n"/>
    </row>
    <row r="291">
      <c r="A291" s="20" t="n"/>
      <c r="B291" s="15" t="n"/>
      <c r="C291" s="15" t="n"/>
      <c r="D291" s="15" t="n"/>
      <c r="E291" s="15" t="n"/>
      <c r="F291" s="15" t="n"/>
      <c r="G291" s="15" t="n"/>
      <c r="H291" s="15" t="n"/>
    </row>
    <row r="292">
      <c r="A292" s="20" t="n"/>
      <c r="B292" s="15" t="n"/>
      <c r="C292" s="15" t="n"/>
      <c r="D292" s="15" t="n"/>
      <c r="E292" s="15" t="n"/>
      <c r="F292" s="15" t="n"/>
      <c r="G292" s="15" t="n"/>
      <c r="H292" s="15" t="n"/>
    </row>
    <row r="293">
      <c r="A293" s="20" t="n"/>
      <c r="B293" s="15" t="n"/>
      <c r="C293" s="15" t="n"/>
      <c r="D293" s="15" t="n"/>
      <c r="E293" s="15" t="n"/>
      <c r="F293" s="15" t="n"/>
      <c r="G293" s="15" t="n"/>
      <c r="H293" s="15" t="n"/>
    </row>
    <row r="294">
      <c r="A294" s="20" t="n"/>
      <c r="B294" s="15" t="n"/>
      <c r="C294" s="15" t="n"/>
      <c r="D294" s="15" t="n"/>
      <c r="E294" s="15" t="n"/>
      <c r="F294" s="15" t="n"/>
      <c r="G294" s="15" t="n"/>
      <c r="H294" s="15" t="n"/>
    </row>
    <row r="295">
      <c r="A295" s="20" t="n"/>
      <c r="B295" s="15" t="n"/>
      <c r="C295" s="15" t="n"/>
      <c r="D295" s="15" t="n"/>
      <c r="E295" s="15" t="n"/>
      <c r="F295" s="15" t="n"/>
      <c r="G295" s="15" t="n"/>
      <c r="H295" s="15" t="n"/>
    </row>
    <row r="296">
      <c r="A296" s="20" t="n"/>
      <c r="B296" s="15" t="n"/>
      <c r="C296" s="15" t="n"/>
      <c r="D296" s="15" t="n"/>
      <c r="E296" s="15" t="n"/>
      <c r="F296" s="15" t="n"/>
      <c r="G296" s="15" t="n"/>
      <c r="H296" s="15" t="n"/>
    </row>
    <row r="297">
      <c r="A297" s="20" t="n"/>
      <c r="B297" s="15" t="n"/>
      <c r="C297" s="15" t="n"/>
      <c r="D297" s="15" t="n"/>
      <c r="E297" s="15" t="n"/>
      <c r="F297" s="15" t="n"/>
      <c r="G297" s="15" t="n"/>
      <c r="H297" s="15" t="n"/>
    </row>
    <row r="298">
      <c r="A298" s="20" t="n"/>
      <c r="B298" s="15" t="n"/>
      <c r="C298" s="15" t="n"/>
      <c r="D298" s="15" t="n"/>
      <c r="E298" s="15" t="n"/>
      <c r="F298" s="15" t="n"/>
      <c r="G298" s="15" t="n"/>
      <c r="H298" s="15" t="n"/>
    </row>
    <row r="299">
      <c r="A299" s="20" t="n"/>
      <c r="B299" s="15" t="n"/>
      <c r="C299" s="15" t="n"/>
      <c r="D299" s="15" t="n"/>
      <c r="E299" s="15" t="n"/>
      <c r="F299" s="15" t="n"/>
      <c r="G299" s="15" t="n"/>
      <c r="H299" s="15" t="n"/>
    </row>
    <row r="300">
      <c r="A300" s="20" t="n"/>
      <c r="B300" s="15" t="n"/>
      <c r="C300" s="15" t="n"/>
      <c r="D300" s="15" t="n"/>
      <c r="E300" s="15" t="n"/>
      <c r="F300" s="15" t="n"/>
      <c r="G300" s="15" t="n"/>
      <c r="H300" s="15" t="n"/>
    </row>
    <row r="301">
      <c r="A301" s="20" t="n"/>
      <c r="B301" s="15" t="n"/>
      <c r="C301" s="15" t="n"/>
      <c r="D301" s="15" t="n"/>
      <c r="E301" s="15" t="n"/>
      <c r="F301" s="15" t="n"/>
      <c r="G301" s="15" t="n"/>
      <c r="H301" s="15" t="n"/>
    </row>
    <row r="302">
      <c r="A302" s="20" t="n"/>
      <c r="B302" s="15" t="n"/>
      <c r="C302" s="15" t="n"/>
      <c r="D302" s="15" t="n"/>
      <c r="E302" s="15" t="n"/>
      <c r="F302" s="15" t="n"/>
      <c r="G302" s="15" t="n"/>
      <c r="H302" s="15" t="n"/>
    </row>
    <row r="303">
      <c r="A303" s="20" t="n"/>
      <c r="B303" s="15" t="n"/>
      <c r="C303" s="15" t="n"/>
      <c r="D303" s="15" t="n"/>
      <c r="E303" s="15" t="n"/>
      <c r="F303" s="15" t="n"/>
      <c r="G303" s="15" t="n"/>
      <c r="H303" s="15" t="n"/>
    </row>
    <row r="304">
      <c r="A304" s="20" t="n"/>
      <c r="B304" s="15" t="n"/>
      <c r="C304" s="15" t="n"/>
      <c r="D304" s="15" t="n"/>
      <c r="E304" s="15" t="n"/>
      <c r="F304" s="15" t="n"/>
      <c r="G304" s="15" t="n"/>
      <c r="H304" s="15" t="n"/>
    </row>
    <row r="305">
      <c r="A305" s="20" t="n"/>
      <c r="B305" s="15" t="n"/>
      <c r="C305" s="15" t="n"/>
      <c r="D305" s="15" t="n"/>
      <c r="E305" s="15" t="n"/>
      <c r="F305" s="15" t="n"/>
      <c r="G305" s="15" t="n"/>
      <c r="H305" s="15" t="n"/>
    </row>
    <row r="306">
      <c r="A306" s="20" t="n"/>
      <c r="B306" s="15" t="n"/>
      <c r="C306" s="15" t="n"/>
      <c r="D306" s="15" t="n"/>
      <c r="E306" s="15" t="n"/>
      <c r="F306" s="15" t="n"/>
      <c r="G306" s="15" t="n"/>
      <c r="H306" s="15" t="n"/>
    </row>
    <row r="307">
      <c r="A307" s="20" t="n"/>
      <c r="B307" s="15" t="n"/>
      <c r="C307" s="15" t="n"/>
      <c r="D307" s="15" t="n"/>
      <c r="E307" s="15" t="n"/>
      <c r="F307" s="15" t="n"/>
      <c r="G307" s="15" t="n"/>
      <c r="H307" s="15" t="n"/>
    </row>
    <row r="308">
      <c r="A308" s="20" t="n"/>
      <c r="B308" s="15" t="n"/>
      <c r="C308" s="15" t="n"/>
      <c r="D308" s="15" t="n"/>
      <c r="E308" s="15" t="n"/>
      <c r="F308" s="15" t="n"/>
      <c r="G308" s="15" t="n"/>
      <c r="H308" s="15" t="n"/>
    </row>
    <row r="309">
      <c r="A309" s="20" t="n"/>
      <c r="B309" s="15" t="n"/>
      <c r="C309" s="15" t="n"/>
      <c r="D309" s="15" t="n"/>
      <c r="E309" s="15" t="n"/>
      <c r="F309" s="15" t="n"/>
      <c r="G309" s="15" t="n"/>
      <c r="H309" s="15" t="n"/>
    </row>
    <row r="310">
      <c r="A310" s="20" t="n"/>
      <c r="B310" s="15" t="n"/>
      <c r="C310" s="15" t="n"/>
      <c r="D310" s="15" t="n"/>
      <c r="E310" s="15" t="n"/>
      <c r="F310" s="15" t="n"/>
      <c r="G310" s="15" t="n"/>
      <c r="H310" s="15" t="n"/>
    </row>
    <row r="311">
      <c r="A311" s="20" t="n"/>
      <c r="B311" s="15" t="n"/>
      <c r="C311" s="15" t="n"/>
      <c r="D311" s="15" t="n"/>
      <c r="E311" s="15" t="n"/>
      <c r="F311" s="15" t="n"/>
      <c r="G311" s="15" t="n"/>
      <c r="H311" s="15" t="n"/>
    </row>
    <row r="312">
      <c r="A312" s="20" t="n"/>
      <c r="B312" s="15" t="n"/>
      <c r="C312" s="15" t="n"/>
      <c r="D312" s="15" t="n"/>
      <c r="E312" s="15" t="n"/>
      <c r="F312" s="15" t="n"/>
      <c r="G312" s="15" t="n"/>
      <c r="H312" s="15" t="n"/>
    </row>
    <row r="313">
      <c r="A313" s="20" t="n"/>
      <c r="B313" s="15" t="n"/>
      <c r="C313" s="15" t="n"/>
      <c r="D313" s="15" t="n"/>
      <c r="E313" s="15" t="n"/>
      <c r="F313" s="15" t="n"/>
      <c r="G313" s="15" t="n"/>
      <c r="H313" s="15" t="n"/>
    </row>
    <row r="314">
      <c r="A314" s="20" t="n"/>
      <c r="B314" s="15" t="n"/>
      <c r="C314" s="15" t="n"/>
      <c r="D314" s="15" t="n"/>
      <c r="E314" s="15" t="n"/>
      <c r="F314" s="15" t="n"/>
      <c r="G314" s="15" t="n"/>
      <c r="H314" s="15" t="n"/>
    </row>
    <row r="315">
      <c r="A315" s="20" t="n"/>
      <c r="B315" s="15" t="n"/>
      <c r="C315" s="15" t="n"/>
      <c r="D315" s="15" t="n"/>
      <c r="E315" s="15" t="n"/>
      <c r="F315" s="15" t="n"/>
      <c r="G315" s="15" t="n"/>
      <c r="H315" s="15" t="n"/>
    </row>
    <row r="316">
      <c r="A316" s="20" t="n"/>
      <c r="B316" s="15" t="n"/>
      <c r="C316" s="15" t="n"/>
      <c r="D316" s="15" t="n"/>
      <c r="E316" s="15" t="n"/>
      <c r="F316" s="15" t="n"/>
      <c r="G316" s="15" t="n"/>
      <c r="H316" s="15" t="n"/>
    </row>
    <row r="317">
      <c r="A317" s="20" t="n"/>
      <c r="B317" s="15" t="n"/>
      <c r="C317" s="15" t="n"/>
      <c r="D317" s="15" t="n"/>
      <c r="E317" s="15" t="n"/>
      <c r="F317" s="15" t="n"/>
      <c r="G317" s="15" t="n"/>
      <c r="H317" s="15" t="n"/>
    </row>
    <row r="318">
      <c r="A318" s="20" t="n"/>
      <c r="B318" s="15" t="n"/>
      <c r="C318" s="15" t="n"/>
      <c r="D318" s="15" t="n"/>
      <c r="E318" s="15" t="n"/>
      <c r="F318" s="15" t="n"/>
      <c r="G318" s="15" t="n"/>
      <c r="H318" s="15" t="n"/>
    </row>
    <row r="319">
      <c r="A319" s="20" t="n"/>
      <c r="B319" s="15" t="n"/>
      <c r="C319" s="15" t="n"/>
      <c r="D319" s="15" t="n"/>
      <c r="E319" s="15" t="n"/>
      <c r="F319" s="15" t="n"/>
      <c r="G319" s="15" t="n"/>
      <c r="H319" s="15" t="n"/>
    </row>
    <row r="320">
      <c r="A320" s="20" t="n"/>
      <c r="B320" s="15" t="n"/>
      <c r="C320" s="15" t="n"/>
      <c r="D320" s="15" t="n"/>
      <c r="E320" s="15" t="n"/>
      <c r="F320" s="15" t="n"/>
      <c r="G320" s="15" t="n"/>
      <c r="H320" s="15" t="n"/>
    </row>
    <row r="321">
      <c r="A321" s="20" t="n"/>
      <c r="B321" s="15" t="n"/>
      <c r="C321" s="15" t="n"/>
      <c r="D321" s="15" t="n"/>
      <c r="E321" s="15" t="n"/>
      <c r="F321" s="15" t="n"/>
      <c r="G321" s="15" t="n"/>
      <c r="H321" s="15" t="n"/>
    </row>
    <row r="322">
      <c r="A322" s="20" t="n"/>
      <c r="B322" s="15" t="n"/>
      <c r="C322" s="15" t="n"/>
      <c r="D322" s="15" t="n"/>
      <c r="E322" s="15" t="n"/>
      <c r="F322" s="15" t="n"/>
      <c r="G322" s="15" t="n"/>
      <c r="H322" s="15" t="n"/>
    </row>
    <row r="323">
      <c r="A323" s="20" t="n"/>
      <c r="B323" s="15" t="n"/>
      <c r="C323" s="15" t="n"/>
      <c r="D323" s="15" t="n"/>
      <c r="E323" s="15" t="n"/>
      <c r="F323" s="15" t="n"/>
      <c r="G323" s="15" t="n"/>
      <c r="H323" s="15" t="n"/>
    </row>
    <row r="324">
      <c r="A324" s="20" t="n"/>
      <c r="B324" s="15" t="n"/>
      <c r="C324" s="15" t="n"/>
      <c r="D324" s="15" t="n"/>
      <c r="E324" s="15" t="n"/>
      <c r="F324" s="15" t="n"/>
      <c r="G324" s="15" t="n"/>
      <c r="H324" s="15" t="n"/>
    </row>
    <row r="325">
      <c r="A325" s="20" t="n"/>
      <c r="B325" s="15" t="n"/>
      <c r="C325" s="15" t="n"/>
      <c r="D325" s="15" t="n"/>
      <c r="E325" s="15" t="n"/>
      <c r="F325" s="15" t="n"/>
      <c r="G325" s="15" t="n"/>
      <c r="H325" s="15" t="n"/>
    </row>
    <row r="326">
      <c r="A326" s="20" t="n"/>
      <c r="B326" s="15" t="n"/>
      <c r="C326" s="15" t="n"/>
      <c r="D326" s="15" t="n"/>
      <c r="E326" s="15" t="n"/>
      <c r="F326" s="15" t="n"/>
      <c r="G326" s="15" t="n"/>
      <c r="H326" s="15" t="n"/>
    </row>
    <row r="327">
      <c r="A327" s="20" t="n"/>
      <c r="B327" s="15" t="n"/>
      <c r="C327" s="15" t="n"/>
      <c r="D327" s="15" t="n"/>
      <c r="E327" s="15" t="n"/>
      <c r="F327" s="15" t="n"/>
      <c r="G327" s="15" t="n"/>
      <c r="H327" s="15" t="n"/>
    </row>
    <row r="328">
      <c r="A328" s="20" t="n"/>
      <c r="B328" s="15" t="n"/>
      <c r="C328" s="15" t="n"/>
      <c r="D328" s="15" t="n"/>
      <c r="E328" s="15" t="n"/>
      <c r="F328" s="15" t="n"/>
      <c r="G328" s="15" t="n"/>
      <c r="H328" s="15" t="n"/>
    </row>
    <row r="329">
      <c r="A329" s="20" t="n"/>
      <c r="B329" s="15" t="n"/>
      <c r="C329" s="15" t="n"/>
      <c r="D329" s="15" t="n"/>
      <c r="E329" s="15" t="n"/>
      <c r="F329" s="15" t="n"/>
      <c r="G329" s="15" t="n"/>
      <c r="H329" s="15" t="n"/>
    </row>
    <row r="330">
      <c r="A330" s="20" t="n"/>
      <c r="B330" s="15" t="n"/>
      <c r="C330" s="15" t="n"/>
      <c r="D330" s="15" t="n"/>
      <c r="E330" s="15" t="n"/>
      <c r="F330" s="15" t="n"/>
      <c r="G330" s="15" t="n"/>
      <c r="H330" s="15" t="n"/>
    </row>
    <row r="331">
      <c r="A331" s="20" t="n"/>
      <c r="B331" s="15" t="n"/>
      <c r="C331" s="15" t="n"/>
      <c r="D331" s="15" t="n"/>
      <c r="E331" s="15" t="n"/>
      <c r="F331" s="15" t="n"/>
      <c r="G331" s="15" t="n"/>
      <c r="H331" s="15" t="n"/>
    </row>
    <row r="332">
      <c r="A332" s="20" t="n"/>
      <c r="B332" s="15" t="n"/>
      <c r="C332" s="15" t="n"/>
      <c r="D332" s="15" t="n"/>
      <c r="E332" s="15" t="n"/>
      <c r="F332" s="15" t="n"/>
      <c r="G332" s="15" t="n"/>
      <c r="H332" s="15" t="n"/>
    </row>
    <row r="333">
      <c r="A333" s="20" t="n"/>
      <c r="B333" s="15" t="n"/>
      <c r="C333" s="15" t="n"/>
      <c r="D333" s="15" t="n"/>
      <c r="E333" s="15" t="n"/>
      <c r="F333" s="15" t="n"/>
      <c r="G333" s="15" t="n"/>
      <c r="H333" s="15" t="n"/>
    </row>
    <row r="334">
      <c r="A334" s="20" t="n"/>
      <c r="B334" s="15" t="n"/>
      <c r="C334" s="15" t="n"/>
      <c r="D334" s="15" t="n"/>
      <c r="E334" s="15" t="n"/>
      <c r="F334" s="15" t="n"/>
      <c r="G334" s="15" t="n"/>
      <c r="H334" s="15" t="n"/>
    </row>
    <row r="335">
      <c r="A335" s="20" t="n"/>
      <c r="B335" s="15" t="n"/>
      <c r="C335" s="15" t="n"/>
      <c r="D335" s="15" t="n"/>
      <c r="E335" s="15" t="n"/>
      <c r="F335" s="15" t="n"/>
      <c r="G335" s="15" t="n"/>
      <c r="H335" s="15" t="n"/>
    </row>
    <row r="336">
      <c r="A336" s="20" t="n"/>
      <c r="B336" s="15" t="n"/>
      <c r="C336" s="15" t="n"/>
      <c r="D336" s="15" t="n"/>
      <c r="E336" s="15" t="n"/>
      <c r="F336" s="15" t="n"/>
      <c r="G336" s="15" t="n"/>
      <c r="H336" s="15" t="n"/>
    </row>
    <row r="337">
      <c r="A337" s="20" t="n"/>
      <c r="B337" s="15" t="n"/>
      <c r="C337" s="15" t="n"/>
      <c r="D337" s="15" t="n"/>
      <c r="E337" s="15" t="n"/>
      <c r="F337" s="15" t="n"/>
      <c r="G337" s="15" t="n"/>
      <c r="H337" s="15" t="n"/>
    </row>
    <row r="338">
      <c r="A338" s="20" t="n"/>
      <c r="B338" s="15" t="n"/>
      <c r="C338" s="15" t="n"/>
      <c r="D338" s="15" t="n"/>
      <c r="E338" s="15" t="n"/>
      <c r="F338" s="15" t="n"/>
      <c r="G338" s="15" t="n"/>
      <c r="H338" s="15" t="n"/>
    </row>
    <row r="339">
      <c r="A339" s="20" t="n"/>
      <c r="B339" s="15" t="n"/>
      <c r="C339" s="15" t="n"/>
      <c r="D339" s="15" t="n"/>
      <c r="E339" s="15" t="n"/>
      <c r="F339" s="15" t="n"/>
      <c r="G339" s="15" t="n"/>
      <c r="H339" s="15" t="n"/>
    </row>
    <row r="340">
      <c r="A340" s="20" t="n"/>
      <c r="B340" s="15" t="n"/>
      <c r="C340" s="15" t="n"/>
      <c r="D340" s="15" t="n"/>
      <c r="E340" s="15" t="n"/>
      <c r="F340" s="15" t="n"/>
      <c r="G340" s="15" t="n"/>
      <c r="H340" s="15" t="n"/>
    </row>
    <row r="341">
      <c r="A341" s="20" t="n"/>
      <c r="B341" s="15" t="n"/>
      <c r="C341" s="15" t="n"/>
      <c r="D341" s="15" t="n"/>
      <c r="E341" s="15" t="n"/>
      <c r="F341" s="15" t="n"/>
      <c r="G341" s="15" t="n"/>
      <c r="H341" s="15" t="n"/>
    </row>
    <row r="342">
      <c r="A342" s="20" t="n"/>
      <c r="B342" s="15" t="n"/>
      <c r="C342" s="15" t="n"/>
      <c r="D342" s="15" t="n"/>
      <c r="E342" s="15" t="n"/>
      <c r="F342" s="15" t="n"/>
      <c r="G342" s="15" t="n"/>
      <c r="H342" s="15" t="n"/>
    </row>
    <row r="343">
      <c r="A343" s="20" t="n"/>
      <c r="B343" s="15" t="n"/>
      <c r="C343" s="15" t="n"/>
      <c r="D343" s="15" t="n"/>
      <c r="E343" s="15" t="n"/>
      <c r="F343" s="15" t="n"/>
      <c r="G343" s="15" t="n"/>
      <c r="H343" s="15" t="n"/>
    </row>
    <row r="344">
      <c r="A344" s="20" t="n"/>
      <c r="B344" s="15" t="n"/>
      <c r="C344" s="15" t="n"/>
      <c r="D344" s="15" t="n"/>
      <c r="E344" s="15" t="n"/>
      <c r="F344" s="15" t="n"/>
      <c r="G344" s="15" t="n"/>
      <c r="H344" s="15" t="n"/>
    </row>
    <row r="345">
      <c r="A345" s="20" t="n"/>
      <c r="B345" s="15" t="n"/>
      <c r="C345" s="15" t="n"/>
      <c r="D345" s="15" t="n"/>
      <c r="E345" s="15" t="n"/>
      <c r="F345" s="15" t="n"/>
      <c r="G345" s="15" t="n"/>
      <c r="H345" s="15" t="n"/>
    </row>
    <row r="346">
      <c r="A346" s="20" t="n"/>
      <c r="B346" s="15" t="n"/>
      <c r="C346" s="15" t="n"/>
      <c r="D346" s="15" t="n"/>
      <c r="E346" s="15" t="n"/>
      <c r="F346" s="15" t="n"/>
      <c r="G346" s="15" t="n"/>
      <c r="H346" s="15" t="n"/>
    </row>
    <row r="347">
      <c r="A347" s="20" t="n"/>
      <c r="B347" s="15" t="n"/>
      <c r="C347" s="15" t="n"/>
      <c r="D347" s="15" t="n"/>
      <c r="E347" s="15" t="n"/>
      <c r="F347" s="15" t="n"/>
      <c r="G347" s="15" t="n"/>
      <c r="H347" s="15" t="n"/>
    </row>
    <row r="348">
      <c r="A348" s="20" t="n"/>
      <c r="B348" s="15" t="n"/>
      <c r="C348" s="15" t="n"/>
      <c r="D348" s="15" t="n"/>
      <c r="E348" s="15" t="n"/>
      <c r="F348" s="15" t="n"/>
      <c r="G348" s="15" t="n"/>
      <c r="H348" s="15" t="n"/>
    </row>
    <row r="349">
      <c r="A349" s="20" t="n"/>
      <c r="B349" s="15" t="n"/>
      <c r="C349" s="15" t="n"/>
      <c r="D349" s="15" t="n"/>
      <c r="E349" s="15" t="n"/>
      <c r="F349" s="15" t="n"/>
      <c r="G349" s="15" t="n"/>
      <c r="H349" s="15" t="n"/>
    </row>
    <row r="350">
      <c r="A350" s="20" t="n"/>
      <c r="B350" s="15" t="n"/>
      <c r="C350" s="15" t="n"/>
      <c r="D350" s="15" t="n"/>
      <c r="E350" s="15" t="n"/>
      <c r="F350" s="15" t="n"/>
      <c r="G350" s="15" t="n"/>
      <c r="H350" s="15" t="n"/>
    </row>
    <row r="351">
      <c r="A351" s="20" t="n"/>
      <c r="B351" s="15" t="n"/>
      <c r="C351" s="15" t="n"/>
      <c r="D351" s="15" t="n"/>
      <c r="E351" s="15" t="n"/>
      <c r="F351" s="15" t="n"/>
      <c r="G351" s="15" t="n"/>
      <c r="H351" s="15" t="n"/>
    </row>
    <row r="352">
      <c r="A352" s="20" t="n"/>
      <c r="B352" s="15" t="n"/>
      <c r="C352" s="15" t="n"/>
      <c r="D352" s="15" t="n"/>
      <c r="E352" s="15" t="n"/>
      <c r="F352" s="15" t="n"/>
      <c r="G352" s="15" t="n"/>
      <c r="H352" s="15" t="n"/>
    </row>
    <row r="353">
      <c r="A353" s="20" t="n"/>
      <c r="B353" s="15" t="n"/>
      <c r="C353" s="15" t="n"/>
      <c r="D353" s="15" t="n"/>
      <c r="E353" s="15" t="n"/>
      <c r="F353" s="15" t="n"/>
      <c r="G353" s="15" t="n"/>
      <c r="H353" s="15" t="n"/>
    </row>
    <row r="354">
      <c r="A354" s="20" t="n"/>
      <c r="B354" s="15" t="n"/>
      <c r="C354" s="15" t="n"/>
      <c r="D354" s="15" t="n"/>
      <c r="E354" s="15" t="n"/>
      <c r="F354" s="15" t="n"/>
      <c r="G354" s="15" t="n"/>
      <c r="H354" s="15" t="n"/>
    </row>
    <row r="355">
      <c r="A355" s="20" t="n"/>
      <c r="B355" s="15" t="n"/>
      <c r="C355" s="15" t="n"/>
      <c r="D355" s="15" t="n"/>
      <c r="E355" s="15" t="n"/>
      <c r="F355" s="15" t="n"/>
      <c r="G355" s="15" t="n"/>
      <c r="H355" s="15" t="n"/>
    </row>
    <row r="356">
      <c r="A356" s="20" t="n"/>
      <c r="B356" s="15" t="n"/>
      <c r="C356" s="15" t="n"/>
      <c r="D356" s="15" t="n"/>
      <c r="E356" s="15" t="n"/>
      <c r="F356" s="15" t="n"/>
      <c r="G356" s="15" t="n"/>
      <c r="H356" s="15" t="n"/>
    </row>
    <row r="357">
      <c r="A357" s="20" t="n"/>
      <c r="B357" s="15" t="n"/>
      <c r="C357" s="15" t="n"/>
      <c r="D357" s="15" t="n"/>
      <c r="E357" s="15" t="n"/>
      <c r="F357" s="15" t="n"/>
      <c r="G357" s="15" t="n"/>
      <c r="H357" s="15" t="n"/>
    </row>
    <row r="358">
      <c r="A358" s="20" t="n"/>
      <c r="B358" s="15" t="n"/>
      <c r="C358" s="15" t="n"/>
      <c r="D358" s="15" t="n"/>
      <c r="E358" s="15" t="n"/>
      <c r="F358" s="15" t="n"/>
      <c r="G358" s="15" t="n"/>
      <c r="H358" s="15" t="n"/>
    </row>
    <row r="359">
      <c r="A359" s="20" t="n"/>
      <c r="B359" s="15" t="n"/>
      <c r="C359" s="15" t="n"/>
      <c r="D359" s="15" t="n"/>
      <c r="E359" s="15" t="n"/>
      <c r="F359" s="15" t="n"/>
      <c r="G359" s="15" t="n"/>
      <c r="H359" s="15" t="n"/>
    </row>
    <row r="360">
      <c r="A360" s="20" t="n"/>
      <c r="B360" s="15" t="n"/>
      <c r="C360" s="15" t="n"/>
      <c r="D360" s="15" t="n"/>
      <c r="E360" s="15" t="n"/>
      <c r="F360" s="15" t="n"/>
      <c r="G360" s="15" t="n"/>
      <c r="H360" s="15" t="n"/>
    </row>
    <row r="361">
      <c r="A361" s="20" t="n"/>
      <c r="B361" s="15" t="n"/>
      <c r="C361" s="15" t="n"/>
      <c r="D361" s="15" t="n"/>
      <c r="E361" s="15" t="n"/>
      <c r="F361" s="15" t="n"/>
      <c r="G361" s="15" t="n"/>
      <c r="H361" s="15" t="n"/>
    </row>
    <row r="362">
      <c r="A362" s="20" t="n"/>
      <c r="B362" s="15" t="n"/>
      <c r="C362" s="15" t="n"/>
      <c r="D362" s="15" t="n"/>
      <c r="E362" s="15" t="n"/>
      <c r="F362" s="15" t="n"/>
      <c r="G362" s="15" t="n"/>
      <c r="H362" s="15" t="n"/>
    </row>
    <row r="363">
      <c r="A363" s="20" t="n"/>
      <c r="B363" s="15" t="n"/>
      <c r="C363" s="15" t="n"/>
      <c r="D363" s="15" t="n"/>
      <c r="E363" s="15" t="n"/>
      <c r="F363" s="15" t="n"/>
      <c r="G363" s="15" t="n"/>
      <c r="H363" s="15" t="n"/>
    </row>
    <row r="364">
      <c r="A364" s="20" t="n"/>
      <c r="B364" s="15" t="n"/>
      <c r="C364" s="15" t="n"/>
      <c r="D364" s="15" t="n"/>
      <c r="E364" s="15" t="n"/>
      <c r="F364" s="15" t="n"/>
      <c r="G364" s="15" t="n"/>
      <c r="H364" s="15" t="n"/>
    </row>
    <row r="365">
      <c r="A365" s="20" t="n"/>
      <c r="B365" s="15" t="n"/>
      <c r="C365" s="15" t="n"/>
      <c r="D365" s="15" t="n"/>
      <c r="E365" s="15" t="n"/>
      <c r="F365" s="15" t="n"/>
      <c r="G365" s="15" t="n"/>
      <c r="H365" s="15" t="n"/>
    </row>
    <row r="366">
      <c r="A366" s="20" t="n"/>
      <c r="B366" s="15" t="n"/>
      <c r="C366" s="15" t="n"/>
      <c r="D366" s="15" t="n"/>
      <c r="E366" s="15" t="n"/>
      <c r="F366" s="15" t="n"/>
      <c r="G366" s="15" t="n"/>
      <c r="H366" s="15" t="n"/>
    </row>
    <row r="367">
      <c r="A367" s="20" t="n"/>
      <c r="B367" s="15" t="n"/>
      <c r="C367" s="15" t="n"/>
      <c r="D367" s="15" t="n"/>
      <c r="E367" s="15" t="n"/>
      <c r="F367" s="15" t="n"/>
      <c r="G367" s="15" t="n"/>
      <c r="H367" s="15" t="n"/>
    </row>
    <row r="368">
      <c r="A368" s="20" t="n"/>
      <c r="B368" s="15" t="n"/>
      <c r="C368" s="15" t="n"/>
      <c r="D368" s="15" t="n"/>
      <c r="E368" s="15" t="n"/>
      <c r="F368" s="15" t="n"/>
      <c r="G368" s="15" t="n"/>
      <c r="H368" s="15" t="n"/>
    </row>
    <row r="369">
      <c r="A369" s="20" t="n"/>
      <c r="B369" s="15" t="n"/>
      <c r="C369" s="15" t="n"/>
      <c r="D369" s="15" t="n"/>
      <c r="E369" s="15" t="n"/>
      <c r="F369" s="15" t="n"/>
      <c r="G369" s="15" t="n"/>
      <c r="H369" s="15" t="n"/>
    </row>
    <row r="370">
      <c r="A370" s="20" t="n"/>
      <c r="B370" s="15" t="n"/>
      <c r="C370" s="15" t="n"/>
      <c r="D370" s="15" t="n"/>
      <c r="E370" s="15" t="n"/>
      <c r="F370" s="15" t="n"/>
      <c r="G370" s="15" t="n"/>
      <c r="H370" s="15" t="n"/>
    </row>
    <row r="371">
      <c r="A371" s="20" t="n"/>
      <c r="B371" s="15" t="n"/>
      <c r="C371" s="15" t="n"/>
      <c r="D371" s="15" t="n"/>
      <c r="E371" s="15" t="n"/>
      <c r="F371" s="15" t="n"/>
      <c r="G371" s="15" t="n"/>
      <c r="H371" s="15" t="n"/>
    </row>
    <row r="372">
      <c r="A372" s="20" t="n"/>
      <c r="B372" s="15" t="n"/>
      <c r="C372" s="15" t="n"/>
      <c r="D372" s="15" t="n"/>
      <c r="E372" s="15" t="n"/>
      <c r="F372" s="15" t="n"/>
      <c r="G372" s="15" t="n"/>
      <c r="H372" s="15" t="n"/>
    </row>
    <row r="373">
      <c r="A373" s="20" t="n"/>
      <c r="B373" s="15" t="n"/>
      <c r="C373" s="15" t="n"/>
      <c r="D373" s="15" t="n"/>
      <c r="E373" s="15" t="n"/>
      <c r="F373" s="15" t="n"/>
      <c r="G373" s="15" t="n"/>
      <c r="H373" s="15" t="n"/>
    </row>
    <row r="374">
      <c r="A374" s="20" t="n"/>
      <c r="B374" s="15" t="n"/>
      <c r="C374" s="15" t="n"/>
      <c r="D374" s="15" t="n"/>
      <c r="E374" s="15" t="n"/>
      <c r="F374" s="15" t="n"/>
      <c r="G374" s="15" t="n"/>
      <c r="H374" s="15" t="n"/>
    </row>
    <row r="375">
      <c r="A375" s="20" t="n"/>
      <c r="B375" s="15" t="n"/>
      <c r="C375" s="15" t="n"/>
      <c r="D375" s="15" t="n"/>
      <c r="E375" s="15" t="n"/>
      <c r="F375" s="15" t="n"/>
      <c r="G375" s="15" t="n"/>
      <c r="H375" s="15" t="n"/>
    </row>
    <row r="376">
      <c r="A376" s="20" t="n"/>
      <c r="B376" s="15" t="n"/>
      <c r="C376" s="15" t="n"/>
      <c r="D376" s="15" t="n"/>
      <c r="E376" s="15" t="n"/>
      <c r="F376" s="15" t="n"/>
      <c r="G376" s="15" t="n"/>
      <c r="H376" s="15" t="n"/>
    </row>
    <row r="377">
      <c r="A377" s="20" t="n"/>
      <c r="B377" s="15" t="n"/>
      <c r="C377" s="15" t="n"/>
      <c r="D377" s="15" t="n"/>
      <c r="E377" s="15" t="n"/>
      <c r="F377" s="15" t="n"/>
      <c r="G377" s="15" t="n"/>
      <c r="H377" s="15" t="n"/>
    </row>
    <row r="378">
      <c r="A378" s="20" t="n"/>
      <c r="B378" s="15" t="n"/>
      <c r="C378" s="15" t="n"/>
      <c r="D378" s="15" t="n"/>
      <c r="E378" s="15" t="n"/>
      <c r="F378" s="15" t="n"/>
      <c r="G378" s="15" t="n"/>
      <c r="H378" s="15" t="n"/>
    </row>
    <row r="379">
      <c r="A379" s="20" t="n"/>
      <c r="B379" s="15" t="n"/>
      <c r="C379" s="15" t="n"/>
      <c r="D379" s="15" t="n"/>
      <c r="E379" s="15" t="n"/>
      <c r="F379" s="15" t="n"/>
      <c r="G379" s="15" t="n"/>
      <c r="H379" s="15" t="n"/>
    </row>
    <row r="380">
      <c r="A380" s="20" t="n"/>
      <c r="B380" s="15" t="n"/>
      <c r="C380" s="15" t="n"/>
      <c r="D380" s="15" t="n"/>
      <c r="E380" s="15" t="n"/>
      <c r="F380" s="15" t="n"/>
      <c r="G380" s="15" t="n"/>
      <c r="H380" s="15" t="n"/>
    </row>
    <row r="381">
      <c r="A381" s="20" t="n"/>
      <c r="B381" s="15" t="n"/>
      <c r="C381" s="15" t="n"/>
      <c r="D381" s="15" t="n"/>
      <c r="E381" s="15" t="n"/>
      <c r="F381" s="15" t="n"/>
      <c r="G381" s="15" t="n"/>
      <c r="H381" s="15" t="n"/>
    </row>
    <row r="382">
      <c r="A382" s="20" t="n"/>
      <c r="B382" s="15" t="n"/>
      <c r="C382" s="15" t="n"/>
      <c r="D382" s="15" t="n"/>
      <c r="E382" s="15" t="n"/>
      <c r="F382" s="15" t="n"/>
      <c r="G382" s="15" t="n"/>
      <c r="H382" s="15" t="n"/>
    </row>
    <row r="383">
      <c r="A383" s="20" t="n"/>
      <c r="B383" s="15" t="n"/>
      <c r="C383" s="15" t="n"/>
      <c r="D383" s="15" t="n"/>
      <c r="E383" s="15" t="n"/>
      <c r="F383" s="15" t="n"/>
      <c r="G383" s="15" t="n"/>
      <c r="H383" s="15" t="n"/>
    </row>
    <row r="384">
      <c r="A384" s="20" t="n"/>
      <c r="B384" s="15" t="n"/>
      <c r="C384" s="15" t="n"/>
      <c r="D384" s="15" t="n"/>
      <c r="E384" s="15" t="n"/>
      <c r="F384" s="15" t="n"/>
      <c r="G384" s="15" t="n"/>
      <c r="H384" s="15" t="n"/>
    </row>
    <row r="385">
      <c r="A385" s="20" t="n"/>
      <c r="B385" s="15" t="n"/>
      <c r="C385" s="15" t="n"/>
      <c r="D385" s="15" t="n"/>
      <c r="E385" s="15" t="n"/>
      <c r="F385" s="15" t="n"/>
      <c r="G385" s="15" t="n"/>
      <c r="H385" s="15" t="n"/>
    </row>
    <row r="386">
      <c r="A386" s="20" t="n"/>
      <c r="B386" s="15" t="n"/>
      <c r="C386" s="15" t="n"/>
      <c r="D386" s="15" t="n"/>
      <c r="E386" s="15" t="n"/>
      <c r="F386" s="15" t="n"/>
      <c r="G386" s="15" t="n"/>
      <c r="H386" s="15" t="n"/>
    </row>
    <row r="387">
      <c r="A387" s="20" t="n"/>
      <c r="B387" s="15" t="n"/>
      <c r="C387" s="15" t="n"/>
      <c r="D387" s="15" t="n"/>
      <c r="E387" s="15" t="n"/>
      <c r="F387" s="15" t="n"/>
      <c r="G387" s="15" t="n"/>
      <c r="H387" s="15" t="n"/>
    </row>
    <row r="388">
      <c r="A388" s="20" t="n"/>
      <c r="B388" s="15" t="n"/>
      <c r="C388" s="15" t="n"/>
      <c r="D388" s="15" t="n"/>
      <c r="E388" s="15" t="n"/>
      <c r="F388" s="15" t="n"/>
      <c r="G388" s="15" t="n"/>
      <c r="H388" s="15" t="n"/>
    </row>
    <row r="389">
      <c r="A389" s="20" t="n"/>
      <c r="B389" s="15" t="n"/>
      <c r="C389" s="15" t="n"/>
      <c r="D389" s="15" t="n"/>
      <c r="E389" s="15" t="n"/>
      <c r="F389" s="15" t="n"/>
      <c r="G389" s="15" t="n"/>
      <c r="H389" s="15" t="n"/>
    </row>
    <row r="390">
      <c r="A390" s="20" t="n"/>
      <c r="B390" s="15" t="n"/>
      <c r="C390" s="15" t="n"/>
      <c r="D390" s="15" t="n"/>
      <c r="E390" s="15" t="n"/>
      <c r="F390" s="15" t="n"/>
      <c r="G390" s="15" t="n"/>
      <c r="H390" s="15" t="n"/>
    </row>
    <row r="391">
      <c r="A391" s="20" t="n"/>
      <c r="B391" s="15" t="n"/>
      <c r="C391" s="15" t="n"/>
      <c r="D391" s="15" t="n"/>
      <c r="E391" s="15" t="n"/>
      <c r="F391" s="15" t="n"/>
      <c r="G391" s="15" t="n"/>
      <c r="H391" s="15" t="n"/>
    </row>
    <row r="392">
      <c r="A392" s="20" t="n"/>
      <c r="B392" s="15" t="n"/>
      <c r="C392" s="15" t="n"/>
      <c r="D392" s="15" t="n"/>
      <c r="E392" s="15" t="n"/>
      <c r="F392" s="15" t="n"/>
      <c r="G392" s="15" t="n"/>
      <c r="H392" s="15" t="n"/>
    </row>
    <row r="393">
      <c r="A393" s="20" t="n"/>
      <c r="B393" s="15" t="n"/>
      <c r="C393" s="15" t="n"/>
      <c r="D393" s="15" t="n"/>
      <c r="E393" s="15" t="n"/>
      <c r="F393" s="15" t="n"/>
      <c r="G393" s="15" t="n"/>
      <c r="H393" s="15" t="n"/>
    </row>
    <row r="394">
      <c r="A394" s="20" t="n"/>
      <c r="B394" s="15" t="n"/>
      <c r="C394" s="15" t="n"/>
      <c r="D394" s="15" t="n"/>
      <c r="E394" s="15" t="n"/>
      <c r="F394" s="15" t="n"/>
      <c r="G394" s="15" t="n"/>
      <c r="H394" s="15" t="n"/>
    </row>
    <row r="395">
      <c r="A395" s="20" t="n"/>
      <c r="B395" s="15" t="n"/>
      <c r="C395" s="15" t="n"/>
      <c r="D395" s="15" t="n"/>
      <c r="E395" s="15" t="n"/>
      <c r="F395" s="15" t="n"/>
      <c r="G395" s="15" t="n"/>
      <c r="H395" s="15" t="n"/>
    </row>
    <row r="396">
      <c r="A396" s="20" t="n"/>
      <c r="B396" s="15" t="n"/>
      <c r="C396" s="15" t="n"/>
      <c r="D396" s="15" t="n"/>
      <c r="E396" s="15" t="n"/>
      <c r="F396" s="15" t="n"/>
      <c r="G396" s="15" t="n"/>
      <c r="H396" s="15" t="n"/>
    </row>
    <row r="397">
      <c r="A397" s="20" t="n"/>
      <c r="B397" s="15" t="n"/>
      <c r="C397" s="15" t="n"/>
      <c r="D397" s="15" t="n"/>
      <c r="E397" s="15" t="n"/>
      <c r="F397" s="15" t="n"/>
      <c r="G397" s="15" t="n"/>
      <c r="H397" s="15" t="n"/>
    </row>
    <row r="398">
      <c r="A398" s="20" t="n"/>
      <c r="B398" s="15" t="n"/>
      <c r="C398" s="15" t="n"/>
      <c r="D398" s="15" t="n"/>
      <c r="E398" s="15" t="n"/>
      <c r="F398" s="15" t="n"/>
      <c r="G398" s="15" t="n"/>
      <c r="H398" s="15" t="n"/>
    </row>
    <row r="399">
      <c r="A399" s="20" t="n"/>
      <c r="B399" s="15" t="n"/>
      <c r="C399" s="15" t="n"/>
      <c r="D399" s="15" t="n"/>
      <c r="E399" s="15" t="n"/>
      <c r="F399" s="15" t="n"/>
      <c r="G399" s="15" t="n"/>
      <c r="H399" s="15" t="n"/>
    </row>
    <row r="400">
      <c r="A400" s="20" t="n"/>
      <c r="B400" s="15" t="n"/>
      <c r="C400" s="15" t="n"/>
      <c r="D400" s="15" t="n"/>
      <c r="E400" s="15" t="n"/>
      <c r="F400" s="15" t="n"/>
      <c r="G400" s="15" t="n"/>
      <c r="H400" s="15" t="n"/>
    </row>
    <row r="401">
      <c r="A401" s="20" t="n"/>
      <c r="B401" s="15" t="n"/>
      <c r="C401" s="15" t="n"/>
      <c r="D401" s="15" t="n"/>
      <c r="E401" s="15" t="n"/>
      <c r="F401" s="15" t="n"/>
      <c r="G401" s="15" t="n"/>
      <c r="H401" s="15" t="n"/>
    </row>
    <row r="402">
      <c r="A402" s="20" t="n"/>
      <c r="B402" s="15" t="n"/>
      <c r="C402" s="15" t="n"/>
      <c r="D402" s="15" t="n"/>
      <c r="E402" s="15" t="n"/>
      <c r="F402" s="15" t="n"/>
      <c r="G402" s="15" t="n"/>
      <c r="H402" s="15" t="n"/>
    </row>
    <row r="403">
      <c r="A403" s="20" t="n"/>
      <c r="B403" s="15" t="n"/>
      <c r="C403" s="15" t="n"/>
      <c r="D403" s="15" t="n"/>
      <c r="E403" s="15" t="n"/>
      <c r="F403" s="15" t="n"/>
      <c r="G403" s="15" t="n"/>
      <c r="H403" s="15" t="n"/>
    </row>
    <row r="404">
      <c r="A404" s="20" t="n"/>
      <c r="B404" s="15" t="n"/>
      <c r="C404" s="15" t="n"/>
      <c r="D404" s="15" t="n"/>
      <c r="E404" s="15" t="n"/>
      <c r="F404" s="15" t="n"/>
      <c r="G404" s="15" t="n"/>
      <c r="H404" s="15" t="n"/>
    </row>
    <row r="405">
      <c r="A405" s="20" t="n"/>
      <c r="B405" s="15" t="n"/>
      <c r="C405" s="15" t="n"/>
      <c r="D405" s="15" t="n"/>
      <c r="E405" s="15" t="n"/>
      <c r="F405" s="15" t="n"/>
      <c r="G405" s="15" t="n"/>
      <c r="H405" s="15" t="n"/>
    </row>
    <row r="406">
      <c r="A406" s="20" t="n"/>
      <c r="B406" s="15" t="n"/>
      <c r="C406" s="15" t="n"/>
      <c r="D406" s="15" t="n"/>
      <c r="E406" s="15" t="n"/>
      <c r="F406" s="15" t="n"/>
      <c r="G406" s="15" t="n"/>
      <c r="H406" s="15" t="n"/>
    </row>
    <row r="407">
      <c r="A407" s="20" t="n"/>
      <c r="B407" s="15" t="n"/>
      <c r="C407" s="15" t="n"/>
      <c r="D407" s="15" t="n"/>
      <c r="E407" s="15" t="n"/>
      <c r="F407" s="15" t="n"/>
      <c r="G407" s="15" t="n"/>
      <c r="H407" s="15" t="n"/>
    </row>
    <row r="408">
      <c r="A408" s="20" t="n"/>
      <c r="B408" s="15" t="n"/>
      <c r="C408" s="15" t="n"/>
      <c r="D408" s="15" t="n"/>
      <c r="E408" s="15" t="n"/>
      <c r="F408" s="15" t="n"/>
      <c r="G408" s="15" t="n"/>
      <c r="H408" s="15" t="n"/>
    </row>
    <row r="409">
      <c r="A409" s="20" t="n"/>
      <c r="B409" s="15" t="n"/>
      <c r="C409" s="15" t="n"/>
      <c r="D409" s="15" t="n"/>
      <c r="E409" s="15" t="n"/>
      <c r="F409" s="15" t="n"/>
      <c r="G409" s="15" t="n"/>
      <c r="H409" s="15" t="n"/>
    </row>
    <row r="410">
      <c r="A410" s="20" t="n"/>
      <c r="B410" s="15" t="n"/>
      <c r="C410" s="15" t="n"/>
      <c r="D410" s="15" t="n"/>
      <c r="E410" s="15" t="n"/>
      <c r="F410" s="15" t="n"/>
      <c r="G410" s="15" t="n"/>
      <c r="H410" s="15" t="n"/>
    </row>
    <row r="411">
      <c r="A411" s="20" t="n"/>
      <c r="B411" s="15" t="n"/>
      <c r="C411" s="15" t="n"/>
      <c r="D411" s="15" t="n"/>
      <c r="E411" s="15" t="n"/>
      <c r="F411" s="15" t="n"/>
      <c r="G411" s="15" t="n"/>
      <c r="H411" s="15" t="n"/>
    </row>
    <row r="412">
      <c r="A412" s="20" t="n"/>
      <c r="B412" s="15" t="n"/>
      <c r="C412" s="15" t="n"/>
      <c r="D412" s="15" t="n"/>
      <c r="E412" s="15" t="n"/>
      <c r="F412" s="15" t="n"/>
      <c r="G412" s="15" t="n"/>
      <c r="H412" s="15" t="n"/>
    </row>
    <row r="413">
      <c r="A413" s="20" t="n"/>
      <c r="B413" s="15" t="n"/>
      <c r="C413" s="15" t="n"/>
      <c r="D413" s="15" t="n"/>
      <c r="E413" s="15" t="n"/>
      <c r="F413" s="15" t="n"/>
      <c r="G413" s="15" t="n"/>
      <c r="H413" s="15" t="n"/>
    </row>
    <row r="414">
      <c r="A414" s="20" t="n"/>
      <c r="B414" s="15" t="n"/>
      <c r="C414" s="15" t="n"/>
      <c r="D414" s="15" t="n"/>
      <c r="E414" s="15" t="n"/>
      <c r="F414" s="15" t="n"/>
      <c r="G414" s="15" t="n"/>
      <c r="H414" s="15" t="n"/>
    </row>
    <row r="415">
      <c r="A415" s="20" t="n"/>
      <c r="B415" s="15" t="n"/>
      <c r="C415" s="15" t="n"/>
      <c r="D415" s="15" t="n"/>
      <c r="E415" s="15" t="n"/>
      <c r="F415" s="15" t="n"/>
      <c r="G415" s="15" t="n"/>
      <c r="H415" s="15" t="n"/>
    </row>
    <row r="416">
      <c r="A416" s="20" t="n"/>
      <c r="B416" s="15" t="n"/>
      <c r="C416" s="15" t="n"/>
      <c r="D416" s="15" t="n"/>
      <c r="E416" s="15" t="n"/>
      <c r="F416" s="15" t="n"/>
      <c r="G416" s="15" t="n"/>
      <c r="H416" s="15" t="n"/>
    </row>
    <row r="417">
      <c r="A417" s="20" t="n"/>
      <c r="B417" s="15" t="n"/>
      <c r="C417" s="15" t="n"/>
      <c r="D417" s="15" t="n"/>
      <c r="E417" s="15" t="n"/>
      <c r="F417" s="15" t="n"/>
      <c r="G417" s="15" t="n"/>
      <c r="H417" s="15" t="n"/>
    </row>
    <row r="418">
      <c r="A418" s="20" t="n"/>
      <c r="B418" s="15" t="n"/>
      <c r="C418" s="15" t="n"/>
      <c r="D418" s="15" t="n"/>
      <c r="E418" s="15" t="n"/>
      <c r="F418" s="15" t="n"/>
      <c r="G418" s="15" t="n"/>
      <c r="H418" s="15" t="n"/>
    </row>
    <row r="419">
      <c r="A419" s="20" t="n"/>
      <c r="B419" s="15" t="n"/>
      <c r="C419" s="15" t="n"/>
      <c r="D419" s="15" t="n"/>
      <c r="E419" s="15" t="n"/>
      <c r="F419" s="15" t="n"/>
      <c r="G419" s="15" t="n"/>
      <c r="H419" s="15" t="n"/>
    </row>
    <row r="420">
      <c r="A420" s="20" t="n"/>
      <c r="B420" s="15" t="n"/>
      <c r="C420" s="15" t="n"/>
      <c r="D420" s="15" t="n"/>
      <c r="E420" s="15" t="n"/>
      <c r="F420" s="15" t="n"/>
      <c r="G420" s="15" t="n"/>
      <c r="H420" s="15" t="n"/>
    </row>
    <row r="421">
      <c r="A421" s="20" t="n"/>
      <c r="B421" s="15" t="n"/>
      <c r="C421" s="15" t="n"/>
      <c r="D421" s="15" t="n"/>
      <c r="E421" s="15" t="n"/>
      <c r="F421" s="15" t="n"/>
      <c r="G421" s="15" t="n"/>
      <c r="H421" s="15" t="n"/>
    </row>
    <row r="422">
      <c r="A422" s="20" t="n"/>
      <c r="B422" s="15" t="n"/>
      <c r="C422" s="15" t="n"/>
      <c r="D422" s="15" t="n"/>
      <c r="E422" s="15" t="n"/>
      <c r="F422" s="15" t="n"/>
      <c r="G422" s="15" t="n"/>
      <c r="H422" s="15" t="n"/>
    </row>
    <row r="423">
      <c r="A423" s="20" t="n"/>
      <c r="B423" s="15" t="n"/>
      <c r="C423" s="15" t="n"/>
      <c r="D423" s="15" t="n"/>
      <c r="E423" s="15" t="n"/>
      <c r="F423" s="15" t="n"/>
      <c r="G423" s="15" t="n"/>
      <c r="H423" s="15" t="n"/>
    </row>
    <row r="424">
      <c r="A424" s="20" t="n"/>
      <c r="B424" s="15" t="n"/>
      <c r="C424" s="15" t="n"/>
      <c r="D424" s="15" t="n"/>
      <c r="E424" s="15" t="n"/>
      <c r="F424" s="15" t="n"/>
      <c r="G424" s="15" t="n"/>
      <c r="H424" s="15" t="n"/>
    </row>
    <row r="425">
      <c r="A425" s="20" t="n"/>
      <c r="B425" s="15" t="n"/>
      <c r="C425" s="15" t="n"/>
      <c r="D425" s="15" t="n"/>
      <c r="E425" s="15" t="n"/>
      <c r="F425" s="15" t="n"/>
      <c r="G425" s="15" t="n"/>
      <c r="H425" s="15" t="n"/>
    </row>
    <row r="426">
      <c r="A426" s="20" t="n"/>
      <c r="B426" s="15" t="n"/>
      <c r="C426" s="15" t="n"/>
      <c r="D426" s="15" t="n"/>
      <c r="E426" s="15" t="n"/>
      <c r="F426" s="15" t="n"/>
      <c r="G426" s="15" t="n"/>
      <c r="H426" s="15" t="n"/>
    </row>
    <row r="427">
      <c r="A427" s="20" t="n"/>
      <c r="B427" s="15" t="n"/>
      <c r="C427" s="15" t="n"/>
      <c r="D427" s="15" t="n"/>
      <c r="E427" s="15" t="n"/>
      <c r="F427" s="15" t="n"/>
      <c r="G427" s="15" t="n"/>
      <c r="H427" s="15" t="n"/>
    </row>
    <row r="428">
      <c r="A428" s="20" t="n"/>
      <c r="B428" s="15" t="n"/>
      <c r="C428" s="15" t="n"/>
      <c r="D428" s="15" t="n"/>
      <c r="E428" s="15" t="n"/>
      <c r="F428" s="15" t="n"/>
      <c r="G428" s="15" t="n"/>
      <c r="H428" s="15" t="n"/>
    </row>
    <row r="429">
      <c r="A429" s="20" t="n"/>
      <c r="B429" s="15" t="n"/>
      <c r="C429" s="15" t="n"/>
      <c r="D429" s="15" t="n"/>
      <c r="E429" s="15" t="n"/>
      <c r="F429" s="15" t="n"/>
      <c r="G429" s="15" t="n"/>
      <c r="H429" s="15" t="n"/>
    </row>
    <row r="430">
      <c r="A430" s="20" t="n"/>
      <c r="B430" s="15" t="n"/>
      <c r="C430" s="15" t="n"/>
      <c r="D430" s="15" t="n"/>
      <c r="E430" s="15" t="n"/>
      <c r="F430" s="15" t="n"/>
      <c r="G430" s="15" t="n"/>
      <c r="H430" s="15" t="n"/>
    </row>
    <row r="431">
      <c r="A431" s="20" t="n"/>
      <c r="B431" s="15" t="n"/>
      <c r="C431" s="15" t="n"/>
      <c r="D431" s="15" t="n"/>
      <c r="E431" s="15" t="n"/>
      <c r="F431" s="15" t="n"/>
      <c r="G431" s="15" t="n"/>
      <c r="H431" s="15" t="n"/>
    </row>
    <row r="432">
      <c r="A432" s="20" t="n"/>
      <c r="B432" s="15" t="n"/>
      <c r="C432" s="15" t="n"/>
      <c r="D432" s="15" t="n"/>
      <c r="E432" s="15" t="n"/>
      <c r="F432" s="15" t="n"/>
      <c r="G432" s="15" t="n"/>
      <c r="H432" s="15" t="n"/>
    </row>
    <row r="433">
      <c r="A433" s="20" t="n"/>
      <c r="B433" s="15" t="n"/>
      <c r="C433" s="15" t="n"/>
      <c r="D433" s="15" t="n"/>
      <c r="E433" s="15" t="n"/>
      <c r="F433" s="15" t="n"/>
      <c r="G433" s="15" t="n"/>
      <c r="H433" s="15" t="n"/>
    </row>
    <row r="434">
      <c r="A434" s="20" t="n"/>
      <c r="B434" s="15" t="n"/>
      <c r="C434" s="15" t="n"/>
      <c r="D434" s="15" t="n"/>
      <c r="E434" s="15" t="n"/>
      <c r="F434" s="15" t="n"/>
      <c r="G434" s="15" t="n"/>
      <c r="H434" s="15" t="n"/>
    </row>
    <row r="435">
      <c r="A435" s="20" t="n"/>
      <c r="B435" s="15" t="n"/>
      <c r="C435" s="15" t="n"/>
      <c r="D435" s="15" t="n"/>
      <c r="E435" s="15" t="n"/>
      <c r="F435" s="15" t="n"/>
      <c r="G435" s="15" t="n"/>
      <c r="H435" s="15" t="n"/>
    </row>
    <row r="436">
      <c r="A436" s="20" t="n"/>
      <c r="B436" s="15" t="n"/>
      <c r="C436" s="15" t="n"/>
      <c r="D436" s="15" t="n"/>
      <c r="E436" s="15" t="n"/>
      <c r="F436" s="15" t="n"/>
      <c r="G436" s="15" t="n"/>
      <c r="H436" s="15" t="n"/>
    </row>
    <row r="437">
      <c r="A437" s="20" t="n"/>
      <c r="B437" s="15" t="n"/>
      <c r="C437" s="15" t="n"/>
      <c r="D437" s="15" t="n"/>
      <c r="E437" s="15" t="n"/>
      <c r="F437" s="15" t="n"/>
      <c r="G437" s="15" t="n"/>
      <c r="H437" s="15" t="n"/>
    </row>
    <row r="438">
      <c r="A438" s="20" t="n"/>
      <c r="B438" s="15" t="n"/>
      <c r="C438" s="15" t="n"/>
      <c r="D438" s="15" t="n"/>
      <c r="E438" s="15" t="n"/>
      <c r="F438" s="15" t="n"/>
      <c r="G438" s="15" t="n"/>
      <c r="H438" s="15" t="n"/>
    </row>
    <row r="439">
      <c r="A439" s="20" t="n"/>
      <c r="B439" s="15" t="n"/>
      <c r="C439" s="15" t="n"/>
      <c r="D439" s="15" t="n"/>
      <c r="E439" s="15" t="n"/>
      <c r="F439" s="15" t="n"/>
      <c r="G439" s="15" t="n"/>
      <c r="H439" s="15" t="n"/>
    </row>
    <row r="440">
      <c r="A440" s="20" t="n"/>
      <c r="B440" s="15" t="n"/>
      <c r="C440" s="15" t="n"/>
      <c r="D440" s="15" t="n"/>
      <c r="E440" s="15" t="n"/>
      <c r="F440" s="15" t="n"/>
      <c r="G440" s="15" t="n"/>
      <c r="H440" s="15" t="n"/>
    </row>
    <row r="441">
      <c r="A441" s="20" t="n"/>
      <c r="B441" s="15" t="n"/>
      <c r="C441" s="15" t="n"/>
      <c r="D441" s="15" t="n"/>
      <c r="E441" s="15" t="n"/>
      <c r="F441" s="15" t="n"/>
      <c r="G441" s="15" t="n"/>
      <c r="H441" s="15" t="n"/>
    </row>
    <row r="442">
      <c r="A442" s="20" t="n"/>
      <c r="B442" s="15" t="n"/>
      <c r="C442" s="15" t="n"/>
      <c r="D442" s="15" t="n"/>
      <c r="E442" s="15" t="n"/>
      <c r="F442" s="15" t="n"/>
      <c r="G442" s="15" t="n"/>
      <c r="H442" s="15" t="n"/>
    </row>
    <row r="443">
      <c r="A443" s="20" t="n"/>
      <c r="B443" s="15" t="n"/>
      <c r="C443" s="15" t="n"/>
      <c r="D443" s="15" t="n"/>
      <c r="E443" s="15" t="n"/>
      <c r="F443" s="15" t="n"/>
      <c r="G443" s="15" t="n"/>
      <c r="H443" s="15" t="n"/>
    </row>
    <row r="444">
      <c r="A444" s="20" t="n"/>
      <c r="B444" s="15" t="n"/>
      <c r="C444" s="15" t="n"/>
      <c r="D444" s="15" t="n"/>
      <c r="E444" s="15" t="n"/>
      <c r="F444" s="15" t="n"/>
      <c r="G444" s="15" t="n"/>
      <c r="H444" s="15" t="n"/>
    </row>
    <row r="445">
      <c r="A445" s="20" t="n"/>
      <c r="B445" s="15" t="n"/>
      <c r="C445" s="15" t="n"/>
      <c r="D445" s="15" t="n"/>
      <c r="E445" s="15" t="n"/>
      <c r="F445" s="15" t="n"/>
      <c r="G445" s="15" t="n"/>
      <c r="H445" s="15" t="n"/>
    </row>
    <row r="446">
      <c r="A446" s="20" t="n"/>
      <c r="B446" s="15" t="n"/>
      <c r="C446" s="15" t="n"/>
      <c r="D446" s="15" t="n"/>
      <c r="E446" s="15" t="n"/>
      <c r="F446" s="15" t="n"/>
      <c r="G446" s="15" t="n"/>
      <c r="H446" s="15" t="n"/>
    </row>
    <row r="447">
      <c r="A447" s="20" t="n"/>
      <c r="B447" s="15" t="n"/>
      <c r="C447" s="15" t="n"/>
      <c r="D447" s="15" t="n"/>
      <c r="E447" s="15" t="n"/>
      <c r="F447" s="15" t="n"/>
      <c r="G447" s="15" t="n"/>
      <c r="H447" s="15" t="n"/>
    </row>
    <row r="448">
      <c r="A448" s="20" t="n"/>
      <c r="B448" s="15" t="n"/>
      <c r="C448" s="15" t="n"/>
      <c r="D448" s="15" t="n"/>
      <c r="E448" s="15" t="n"/>
      <c r="F448" s="15" t="n"/>
      <c r="G448" s="15" t="n"/>
      <c r="H448" s="15" t="n"/>
    </row>
    <row r="449">
      <c r="A449" s="20" t="n"/>
      <c r="B449" s="15" t="n"/>
      <c r="C449" s="15" t="n"/>
      <c r="D449" s="15" t="n"/>
      <c r="E449" s="15" t="n"/>
      <c r="F449" s="15" t="n"/>
      <c r="G449" s="15" t="n"/>
      <c r="H449" s="15" t="n"/>
    </row>
    <row r="450">
      <c r="A450" s="20" t="n"/>
      <c r="B450" s="15" t="n"/>
      <c r="C450" s="15" t="n"/>
      <c r="D450" s="15" t="n"/>
      <c r="E450" s="15" t="n"/>
      <c r="F450" s="15" t="n"/>
      <c r="G450" s="15" t="n"/>
      <c r="H450" s="15" t="n"/>
    </row>
    <row r="451">
      <c r="A451" s="20" t="n"/>
      <c r="B451" s="15" t="n"/>
      <c r="C451" s="15" t="n"/>
      <c r="D451" s="15" t="n"/>
      <c r="E451" s="15" t="n"/>
      <c r="F451" s="15" t="n"/>
      <c r="G451" s="15" t="n"/>
      <c r="H451" s="15" t="n"/>
    </row>
    <row r="452">
      <c r="A452" s="20" t="n"/>
      <c r="B452" s="15" t="n"/>
      <c r="C452" s="15" t="n"/>
      <c r="D452" s="15" t="n"/>
      <c r="E452" s="15" t="n"/>
      <c r="F452" s="15" t="n"/>
      <c r="G452" s="15" t="n"/>
      <c r="H452" s="15" t="n"/>
    </row>
    <row r="453">
      <c r="A453" s="20" t="n"/>
      <c r="B453" s="15" t="n"/>
      <c r="C453" s="15" t="n"/>
      <c r="D453" s="15" t="n"/>
      <c r="E453" s="15" t="n"/>
      <c r="F453" s="15" t="n"/>
      <c r="G453" s="15" t="n"/>
      <c r="H453" s="15" t="n"/>
    </row>
    <row r="454">
      <c r="A454" s="20" t="n"/>
      <c r="B454" s="15" t="n"/>
      <c r="C454" s="15" t="n"/>
      <c r="D454" s="15" t="n"/>
      <c r="E454" s="15" t="n"/>
      <c r="F454" s="15" t="n"/>
      <c r="G454" s="15" t="n"/>
      <c r="H454" s="15" t="n"/>
    </row>
    <row r="455">
      <c r="A455" s="20" t="n"/>
      <c r="B455" s="15" t="n"/>
      <c r="C455" s="15" t="n"/>
      <c r="D455" s="15" t="n"/>
      <c r="E455" s="15" t="n"/>
      <c r="F455" s="15" t="n"/>
      <c r="G455" s="15" t="n"/>
      <c r="H455" s="15" t="n"/>
    </row>
    <row r="456">
      <c r="A456" s="20" t="n"/>
      <c r="B456" s="15" t="n"/>
      <c r="C456" s="15" t="n"/>
      <c r="D456" s="15" t="n"/>
      <c r="E456" s="15" t="n"/>
      <c r="F456" s="15" t="n"/>
      <c r="G456" s="15" t="n"/>
      <c r="H456" s="15" t="n"/>
    </row>
    <row r="457">
      <c r="A457" s="20" t="n"/>
      <c r="B457" s="15" t="n"/>
      <c r="C457" s="15" t="n"/>
      <c r="D457" s="15" t="n"/>
      <c r="E457" s="15" t="n"/>
      <c r="F457" s="15" t="n"/>
      <c r="G457" s="15" t="n"/>
      <c r="H457" s="15" t="n"/>
    </row>
    <row r="458">
      <c r="A458" s="20" t="n"/>
      <c r="B458" s="15" t="n"/>
      <c r="C458" s="15" t="n"/>
      <c r="D458" s="15" t="n"/>
      <c r="E458" s="15" t="n"/>
      <c r="F458" s="15" t="n"/>
      <c r="G458" s="15" t="n"/>
      <c r="H458" s="15" t="n"/>
    </row>
    <row r="459">
      <c r="A459" s="20" t="n"/>
      <c r="B459" s="15" t="n"/>
      <c r="C459" s="15" t="n"/>
      <c r="D459" s="15" t="n"/>
      <c r="E459" s="15" t="n"/>
      <c r="F459" s="15" t="n"/>
      <c r="G459" s="15" t="n"/>
      <c r="H459" s="15" t="n"/>
    </row>
    <row r="460">
      <c r="A460" s="20" t="n"/>
      <c r="B460" s="15" t="n"/>
      <c r="C460" s="15" t="n"/>
      <c r="D460" s="15" t="n"/>
      <c r="E460" s="15" t="n"/>
      <c r="F460" s="15" t="n"/>
      <c r="G460" s="15" t="n"/>
      <c r="H460" s="15" t="n"/>
    </row>
    <row r="461">
      <c r="A461" s="20" t="n"/>
      <c r="B461" s="15" t="n"/>
      <c r="C461" s="15" t="n"/>
      <c r="D461" s="15" t="n"/>
      <c r="E461" s="15" t="n"/>
      <c r="F461" s="15" t="n"/>
      <c r="G461" s="15" t="n"/>
      <c r="H461" s="15" t="n"/>
    </row>
    <row r="462">
      <c r="A462" s="20" t="n"/>
      <c r="B462" s="15" t="n"/>
      <c r="C462" s="15" t="n"/>
      <c r="D462" s="15" t="n"/>
      <c r="E462" s="15" t="n"/>
      <c r="F462" s="15" t="n"/>
      <c r="G462" s="15" t="n"/>
      <c r="H462" s="15" t="n"/>
    </row>
    <row r="463">
      <c r="A463" s="20" t="n"/>
      <c r="B463" s="15" t="n"/>
      <c r="C463" s="15" t="n"/>
      <c r="D463" s="15" t="n"/>
      <c r="E463" s="15" t="n"/>
      <c r="F463" s="15" t="n"/>
      <c r="G463" s="15" t="n"/>
      <c r="H463" s="15" t="n"/>
    </row>
    <row r="464">
      <c r="A464" s="20" t="n"/>
      <c r="B464" s="15" t="n"/>
      <c r="C464" s="15" t="n"/>
      <c r="D464" s="15" t="n"/>
      <c r="E464" s="15" t="n"/>
      <c r="F464" s="15" t="n"/>
      <c r="G464" s="15" t="n"/>
      <c r="H464" s="15" t="n"/>
    </row>
    <row r="465">
      <c r="A465" s="20" t="n"/>
      <c r="B465" s="15" t="n"/>
      <c r="C465" s="15" t="n"/>
      <c r="D465" s="15" t="n"/>
      <c r="E465" s="15" t="n"/>
      <c r="F465" s="15" t="n"/>
      <c r="G465" s="15" t="n"/>
      <c r="H465" s="15" t="n"/>
    </row>
    <row r="466">
      <c r="A466" s="20" t="n"/>
      <c r="B466" s="15" t="n"/>
      <c r="C466" s="15" t="n"/>
      <c r="D466" s="15" t="n"/>
      <c r="E466" s="15" t="n"/>
      <c r="F466" s="15" t="n"/>
      <c r="G466" s="15" t="n"/>
      <c r="H466" s="15" t="n"/>
    </row>
    <row r="467">
      <c r="A467" s="20" t="n"/>
      <c r="B467" s="15" t="n"/>
      <c r="C467" s="15" t="n"/>
      <c r="D467" s="15" t="n"/>
      <c r="E467" s="15" t="n"/>
      <c r="F467" s="15" t="n"/>
      <c r="G467" s="15" t="n"/>
      <c r="H467" s="15" t="n"/>
    </row>
    <row r="468">
      <c r="A468" s="20" t="n"/>
      <c r="B468" s="15" t="n"/>
      <c r="C468" s="15" t="n"/>
      <c r="D468" s="15" t="n"/>
      <c r="E468" s="15" t="n"/>
      <c r="F468" s="15" t="n"/>
      <c r="G468" s="15" t="n"/>
      <c r="H468" s="15" t="n"/>
    </row>
    <row r="469">
      <c r="A469" s="20" t="n"/>
      <c r="B469" s="15" t="n"/>
      <c r="C469" s="15" t="n"/>
      <c r="D469" s="15" t="n"/>
      <c r="E469" s="15" t="n"/>
      <c r="F469" s="15" t="n"/>
      <c r="G469" s="15" t="n"/>
      <c r="H469" s="15" t="n"/>
    </row>
    <row r="470">
      <c r="A470" s="20" t="n"/>
      <c r="B470" s="15" t="n"/>
      <c r="C470" s="15" t="n"/>
      <c r="D470" s="15" t="n"/>
      <c r="E470" s="15" t="n"/>
      <c r="F470" s="15" t="n"/>
      <c r="G470" s="15" t="n"/>
      <c r="H470" s="15" t="n"/>
    </row>
    <row r="471">
      <c r="A471" s="20" t="n"/>
      <c r="B471" s="15" t="n"/>
      <c r="C471" s="15" t="n"/>
      <c r="D471" s="15" t="n"/>
      <c r="E471" s="15" t="n"/>
      <c r="F471" s="15" t="n"/>
      <c r="G471" s="15" t="n"/>
      <c r="H471" s="15" t="n"/>
    </row>
    <row r="472">
      <c r="A472" s="20" t="n"/>
      <c r="B472" s="15" t="n"/>
      <c r="C472" s="15" t="n"/>
      <c r="D472" s="15" t="n"/>
      <c r="E472" s="15" t="n"/>
      <c r="F472" s="15" t="n"/>
      <c r="G472" s="15" t="n"/>
      <c r="H472" s="15" t="n"/>
    </row>
    <row r="473">
      <c r="A473" s="20" t="n"/>
      <c r="B473" s="15" t="n"/>
      <c r="C473" s="15" t="n"/>
      <c r="D473" s="15" t="n"/>
      <c r="E473" s="15" t="n"/>
      <c r="F473" s="15" t="n"/>
      <c r="G473" s="15" t="n"/>
      <c r="H473" s="15" t="n"/>
    </row>
    <row r="474">
      <c r="A474" s="20" t="n"/>
      <c r="B474" s="15" t="n"/>
      <c r="C474" s="15" t="n"/>
      <c r="D474" s="15" t="n"/>
      <c r="E474" s="15" t="n"/>
      <c r="F474" s="15" t="n"/>
      <c r="G474" s="15" t="n"/>
      <c r="H474" s="15" t="n"/>
    </row>
    <row r="475">
      <c r="A475" s="20" t="n"/>
      <c r="B475" s="15" t="n"/>
      <c r="C475" s="15" t="n"/>
      <c r="D475" s="15" t="n"/>
      <c r="E475" s="15" t="n"/>
      <c r="F475" s="15" t="n"/>
      <c r="G475" s="15" t="n"/>
      <c r="H475" s="15" t="n"/>
    </row>
    <row r="476">
      <c r="A476" s="20" t="n"/>
      <c r="B476" s="15" t="n"/>
      <c r="C476" s="15" t="n"/>
      <c r="D476" s="15" t="n"/>
      <c r="E476" s="15" t="n"/>
      <c r="F476" s="15" t="n"/>
      <c r="G476" s="15" t="n"/>
      <c r="H476" s="15" t="n"/>
    </row>
    <row r="477">
      <c r="A477" s="20" t="n"/>
      <c r="B477" s="15" t="n"/>
      <c r="C477" s="15" t="n"/>
      <c r="D477" s="15" t="n"/>
      <c r="E477" s="15" t="n"/>
      <c r="F477" s="15" t="n"/>
      <c r="G477" s="15" t="n"/>
      <c r="H477" s="15" t="n"/>
    </row>
    <row r="478">
      <c r="A478" s="20" t="n"/>
      <c r="B478" s="15" t="n"/>
      <c r="C478" s="15" t="n"/>
      <c r="D478" s="15" t="n"/>
      <c r="E478" s="15" t="n"/>
      <c r="F478" s="15" t="n"/>
      <c r="G478" s="15" t="n"/>
      <c r="H478" s="15" t="n"/>
    </row>
    <row r="479">
      <c r="A479" s="20" t="n"/>
      <c r="B479" s="15" t="n"/>
      <c r="C479" s="15" t="n"/>
      <c r="D479" s="15" t="n"/>
      <c r="E479" s="15" t="n"/>
      <c r="F479" s="15" t="n"/>
      <c r="G479" s="15" t="n"/>
      <c r="H479" s="15" t="n"/>
    </row>
    <row r="480">
      <c r="A480" s="20" t="n"/>
      <c r="B480" s="15" t="n"/>
      <c r="C480" s="15" t="n"/>
      <c r="D480" s="15" t="n"/>
      <c r="E480" s="15" t="n"/>
      <c r="F480" s="15" t="n"/>
      <c r="G480" s="15" t="n"/>
      <c r="H480" s="15" t="n"/>
    </row>
    <row r="481">
      <c r="A481" s="20" t="n"/>
      <c r="B481" s="15" t="n"/>
      <c r="C481" s="15" t="n"/>
      <c r="D481" s="15" t="n"/>
      <c r="E481" s="15" t="n"/>
      <c r="F481" s="15" t="n"/>
      <c r="G481" s="15" t="n"/>
      <c r="H481" s="15" t="n"/>
    </row>
    <row r="482">
      <c r="A482" s="20" t="n"/>
      <c r="B482" s="15" t="n"/>
      <c r="C482" s="15" t="n"/>
      <c r="D482" s="15" t="n"/>
      <c r="E482" s="15" t="n"/>
      <c r="F482" s="15" t="n"/>
      <c r="G482" s="15" t="n"/>
      <c r="H482" s="15" t="n"/>
    </row>
    <row r="483">
      <c r="A483" s="20" t="n"/>
      <c r="B483" s="15" t="n"/>
      <c r="C483" s="15" t="n"/>
      <c r="D483" s="15" t="n"/>
      <c r="E483" s="15" t="n"/>
      <c r="F483" s="15" t="n"/>
      <c r="G483" s="15" t="n"/>
      <c r="H483" s="15" t="n"/>
    </row>
    <row r="484">
      <c r="A484" s="20" t="n"/>
      <c r="B484" s="15" t="n"/>
      <c r="C484" s="15" t="n"/>
      <c r="D484" s="15" t="n"/>
      <c r="E484" s="15" t="n"/>
      <c r="F484" s="15" t="n"/>
      <c r="G484" s="15" t="n"/>
      <c r="H484" s="15" t="n"/>
    </row>
    <row r="485">
      <c r="A485" s="20" t="n"/>
      <c r="B485" s="15" t="n"/>
      <c r="C485" s="15" t="n"/>
      <c r="D485" s="15" t="n"/>
      <c r="E485" s="15" t="n"/>
      <c r="F485" s="15" t="n"/>
      <c r="G485" s="15" t="n"/>
      <c r="H485" s="15" t="n"/>
    </row>
    <row r="486">
      <c r="A486" s="20" t="n"/>
      <c r="B486" s="15" t="n"/>
      <c r="C486" s="15" t="n"/>
      <c r="D486" s="15" t="n"/>
      <c r="E486" s="15" t="n"/>
      <c r="F486" s="15" t="n"/>
      <c r="G486" s="15" t="n"/>
      <c r="H486" s="15" t="n"/>
    </row>
    <row r="487">
      <c r="A487" s="20" t="n"/>
      <c r="B487" s="15" t="n"/>
      <c r="C487" s="15" t="n"/>
      <c r="D487" s="15" t="n"/>
      <c r="E487" s="15" t="n"/>
      <c r="F487" s="15" t="n"/>
      <c r="G487" s="15" t="n"/>
      <c r="H487" s="15" t="n"/>
    </row>
    <row r="488">
      <c r="A488" s="20" t="n"/>
      <c r="B488" s="15" t="n"/>
      <c r="C488" s="15" t="n"/>
      <c r="D488" s="15" t="n"/>
      <c r="E488" s="15" t="n"/>
      <c r="F488" s="15" t="n"/>
      <c r="G488" s="15" t="n"/>
      <c r="H488" s="15" t="n"/>
    </row>
    <row r="489">
      <c r="A489" s="20" t="n"/>
      <c r="B489" s="15" t="n"/>
      <c r="C489" s="15" t="n"/>
      <c r="D489" s="15" t="n"/>
      <c r="E489" s="15" t="n"/>
      <c r="F489" s="15" t="n"/>
      <c r="G489" s="15" t="n"/>
      <c r="H489" s="15" t="n"/>
    </row>
    <row r="490">
      <c r="A490" s="20" t="n"/>
      <c r="B490" s="15" t="n"/>
      <c r="C490" s="15" t="n"/>
      <c r="D490" s="15" t="n"/>
      <c r="E490" s="15" t="n"/>
      <c r="F490" s="15" t="n"/>
      <c r="G490" s="15" t="n"/>
      <c r="H490" s="15" t="n"/>
    </row>
    <row r="491">
      <c r="A491" s="20" t="n"/>
      <c r="B491" s="15" t="n"/>
      <c r="C491" s="15" t="n"/>
      <c r="D491" s="15" t="n"/>
      <c r="E491" s="15" t="n"/>
      <c r="F491" s="15" t="n"/>
      <c r="G491" s="15" t="n"/>
      <c r="H491" s="15" t="n"/>
    </row>
    <row r="492">
      <c r="A492" s="20" t="n"/>
      <c r="B492" s="15" t="n"/>
      <c r="C492" s="15" t="n"/>
      <c r="D492" s="15" t="n"/>
      <c r="E492" s="15" t="n"/>
      <c r="F492" s="15" t="n"/>
      <c r="G492" s="15" t="n"/>
      <c r="H492" s="15" t="n"/>
    </row>
    <row r="493">
      <c r="A493" s="20" t="n"/>
      <c r="B493" s="15" t="n"/>
      <c r="C493" s="15" t="n"/>
      <c r="D493" s="15" t="n"/>
      <c r="E493" s="15" t="n"/>
      <c r="F493" s="15" t="n"/>
      <c r="G493" s="15" t="n"/>
      <c r="H493" s="15" t="n"/>
    </row>
    <row r="494">
      <c r="A494" s="20" t="n"/>
      <c r="B494" s="15" t="n"/>
      <c r="C494" s="15" t="n"/>
      <c r="D494" s="15" t="n"/>
      <c r="E494" s="15" t="n"/>
      <c r="F494" s="15" t="n"/>
      <c r="G494" s="15" t="n"/>
      <c r="H494" s="15" t="n"/>
    </row>
    <row r="495">
      <c r="A495" s="20" t="n"/>
      <c r="B495" s="15" t="n"/>
      <c r="C495" s="15" t="n"/>
      <c r="D495" s="15" t="n"/>
      <c r="E495" s="15" t="n"/>
      <c r="F495" s="15" t="n"/>
      <c r="G495" s="15" t="n"/>
      <c r="H495" s="15" t="n"/>
    </row>
    <row r="496">
      <c r="A496" s="20" t="n"/>
      <c r="B496" s="15" t="n"/>
      <c r="C496" s="15" t="n"/>
      <c r="D496" s="15" t="n"/>
      <c r="E496" s="15" t="n"/>
      <c r="F496" s="15" t="n"/>
      <c r="G496" s="15" t="n"/>
      <c r="H496" s="15" t="n"/>
    </row>
    <row r="497">
      <c r="A497" s="20" t="n"/>
      <c r="B497" s="15" t="n"/>
      <c r="C497" s="15" t="n"/>
      <c r="D497" s="15" t="n"/>
      <c r="E497" s="15" t="n"/>
      <c r="F497" s="15" t="n"/>
      <c r="G497" s="15" t="n"/>
      <c r="H497" s="15" t="n"/>
    </row>
    <row r="498">
      <c r="A498" s="20" t="n"/>
      <c r="B498" s="15" t="n"/>
      <c r="C498" s="15" t="n"/>
      <c r="D498" s="15" t="n"/>
      <c r="E498" s="15" t="n"/>
      <c r="F498" s="15" t="n"/>
      <c r="G498" s="15" t="n"/>
      <c r="H498" s="15" t="n"/>
    </row>
    <row r="499">
      <c r="A499" s="20" t="n"/>
      <c r="B499" s="15" t="n"/>
      <c r="C499" s="15" t="n"/>
      <c r="D499" s="15" t="n"/>
      <c r="E499" s="15" t="n"/>
      <c r="F499" s="15" t="n"/>
      <c r="G499" s="15" t="n"/>
      <c r="H499" s="15" t="n"/>
    </row>
    <row r="500">
      <c r="A500" s="20" t="n"/>
      <c r="B500" s="15" t="n"/>
      <c r="C500" s="15" t="n"/>
      <c r="D500" s="15" t="n"/>
      <c r="E500" s="15" t="n"/>
      <c r="F500" s="15" t="n"/>
      <c r="G500" s="15" t="n"/>
      <c r="H500" s="15" t="n"/>
    </row>
    <row r="501">
      <c r="A501" s="20" t="n"/>
      <c r="B501" s="15" t="n"/>
      <c r="C501" s="15" t="n"/>
      <c r="D501" s="15" t="n"/>
      <c r="E501" s="15" t="n"/>
      <c r="F501" s="15" t="n"/>
      <c r="G501" s="15" t="n"/>
      <c r="H501" s="15" t="n"/>
    </row>
    <row r="502">
      <c r="A502" s="20" t="n"/>
      <c r="B502" s="15" t="n"/>
      <c r="C502" s="15" t="n"/>
      <c r="D502" s="15" t="n"/>
      <c r="E502" s="15" t="n"/>
      <c r="F502" s="15" t="n"/>
      <c r="G502" s="15" t="n"/>
      <c r="H502" s="15" t="n"/>
    </row>
    <row r="503">
      <c r="A503" s="20" t="n"/>
      <c r="B503" s="15" t="n"/>
      <c r="C503" s="15" t="n"/>
      <c r="D503" s="15" t="n"/>
      <c r="E503" s="15" t="n"/>
      <c r="F503" s="15" t="n"/>
      <c r="G503" s="15" t="n"/>
      <c r="H503" s="15" t="n"/>
    </row>
    <row r="504">
      <c r="A504" s="20" t="n"/>
      <c r="B504" s="15" t="n"/>
      <c r="C504" s="15" t="n"/>
      <c r="D504" s="15" t="n"/>
      <c r="E504" s="15" t="n"/>
      <c r="F504" s="15" t="n"/>
      <c r="G504" s="15" t="n"/>
      <c r="H504" s="15" t="n"/>
    </row>
  </sheetData>
  <autoFilter ref="A4:H504"/>
  <mergeCells count="2">
    <mergeCell ref="A2:H2"/>
    <mergeCell ref="A1:H1"/>
  </mergeCells>
  <dataValidations count="1">
    <dataValidation sqref="B5:B504" showDropDown="0" showInputMessage="0" showErrorMessage="0" allowBlank="1" type="list">
      <formula1>"Entrada,Saída,Devolução,Ajuste"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7" customWidth="1" min="4" max="4"/>
    <col width="17" customWidth="1" min="5" max="5"/>
    <col width="16" customWidth="1" min="6" max="6"/>
    <col width="17" customWidth="1" min="7" max="7"/>
    <col width="16" customWidth="1" min="8" max="8"/>
    <col width="20" customWidth="1" min="9" max="9"/>
    <col width="16" customWidth="1" min="10" max="10"/>
    <col width="25" customWidth="1" min="11" max="11"/>
  </cols>
  <sheetData>
    <row r="1" ht="32" customHeight="1">
      <c r="A1" s="11" t="inlineStr">
        <is>
          <t>CONTROLE DE LOTES E VENCIMENTOS</t>
        </is>
      </c>
    </row>
    <row r="2">
      <c r="A2" s="13" t="inlineStr">
        <is>
          <t>Uma linha por lote. Informe validade e quantidade disponível para acompanhar os alertas.</t>
        </is>
      </c>
    </row>
    <row r="3"/>
    <row r="4">
      <c r="A4" s="21" t="inlineStr">
        <is>
          <t>SKU/Código</t>
        </is>
      </c>
      <c r="B4" s="21" t="inlineStr">
        <is>
          <t>Produto</t>
        </is>
      </c>
      <c r="C4" s="21" t="inlineStr">
        <is>
          <t>Lote</t>
        </is>
      </c>
      <c r="D4" s="21" t="inlineStr">
        <is>
          <t>Data fabricação</t>
        </is>
      </c>
      <c r="E4" s="21" t="inlineStr">
        <is>
          <t>Data validade</t>
        </is>
      </c>
      <c r="F4" s="21" t="inlineStr">
        <is>
          <t>Qtd. recebida</t>
        </is>
      </c>
      <c r="G4" s="21" t="inlineStr">
        <is>
          <t>Qtd. disponível</t>
        </is>
      </c>
      <c r="H4" s="21" t="inlineStr">
        <is>
          <t>Dias até vencer</t>
        </is>
      </c>
      <c r="I4" s="21" t="inlineStr">
        <is>
          <t>Alerta</t>
        </is>
      </c>
      <c r="J4" s="21" t="inlineStr">
        <is>
          <t>Status</t>
        </is>
      </c>
      <c r="K4" s="21" t="inlineStr">
        <is>
          <t>Fornecedor</t>
        </is>
      </c>
    </row>
    <row r="5">
      <c r="A5" s="15" t="n"/>
      <c r="B5" s="17">
        <f>IFERROR(VLOOKUP(A5,Produtos!$A$5:$M$204,2,FALSE),"")</f>
        <v/>
      </c>
      <c r="C5" s="15" t="n"/>
      <c r="D5" s="20" t="n"/>
      <c r="E5" s="20" t="n"/>
      <c r="F5" s="15" t="n"/>
      <c r="G5" s="15" t="n"/>
      <c r="H5" s="17">
        <f>IF(E5="","",E5-TODAY())</f>
        <v/>
      </c>
      <c r="I5" s="17">
        <f>IF(E5="","",IF(E5&lt;TODAY(),"VENCIDO",IF(E5&lt;=TODAY()+7,"VENCE EM 7 DIAS",IF(E5&lt;=TODAY()+30,"VENCE EM 30 DIAS","OK"))))</f>
        <v/>
      </c>
      <c r="J5" s="17">
        <f>IF(A5="","",IF(G5&lt;=0,"SEM ESTOQUE",IF(E5&lt;TODAY(),"VENCIDO",IF(E5&lt;=TODAY()+30,"ATENÇÃO","OK"))))</f>
        <v/>
      </c>
      <c r="K5" s="15" t="n"/>
    </row>
    <row r="6">
      <c r="A6" s="15" t="n"/>
      <c r="B6" s="17">
        <f>IFERROR(VLOOKUP(A6,Produtos!$A$5:$M$204,2,FALSE),"")</f>
        <v/>
      </c>
      <c r="C6" s="15" t="n"/>
      <c r="D6" s="20" t="n"/>
      <c r="E6" s="20" t="n"/>
      <c r="F6" s="15" t="n"/>
      <c r="G6" s="15" t="n"/>
      <c r="H6" s="17">
        <f>IF(E6="","",E6-TODAY())</f>
        <v/>
      </c>
      <c r="I6" s="17">
        <f>IF(E6="","",IF(E6&lt;TODAY(),"VENCIDO",IF(E6&lt;=TODAY()+7,"VENCE EM 7 DIAS",IF(E6&lt;=TODAY()+30,"VENCE EM 30 DIAS","OK"))))</f>
        <v/>
      </c>
      <c r="J6" s="17">
        <f>IF(A6="","",IF(G6&lt;=0,"SEM ESTOQUE",IF(E6&lt;TODAY(),"VENCIDO",IF(E6&lt;=TODAY()+30,"ATENÇÃO","OK"))))</f>
        <v/>
      </c>
      <c r="K6" s="15" t="n"/>
    </row>
    <row r="7">
      <c r="A7" s="15" t="n"/>
      <c r="B7" s="17">
        <f>IFERROR(VLOOKUP(A7,Produtos!$A$5:$M$204,2,FALSE),"")</f>
        <v/>
      </c>
      <c r="C7" s="15" t="n"/>
      <c r="D7" s="20" t="n"/>
      <c r="E7" s="20" t="n"/>
      <c r="F7" s="15" t="n"/>
      <c r="G7" s="15" t="n"/>
      <c r="H7" s="17">
        <f>IF(E7="","",E7-TODAY())</f>
        <v/>
      </c>
      <c r="I7" s="17">
        <f>IF(E7="","",IF(E7&lt;TODAY(),"VENCIDO",IF(E7&lt;=TODAY()+7,"VENCE EM 7 DIAS",IF(E7&lt;=TODAY()+30,"VENCE EM 30 DIAS","OK"))))</f>
        <v/>
      </c>
      <c r="J7" s="17">
        <f>IF(A7="","",IF(G7&lt;=0,"SEM ESTOQUE",IF(E7&lt;TODAY(),"VENCIDO",IF(E7&lt;=TODAY()+30,"ATENÇÃO","OK"))))</f>
        <v/>
      </c>
      <c r="K7" s="15" t="n"/>
    </row>
    <row r="8">
      <c r="A8" s="15" t="n"/>
      <c r="B8" s="17">
        <f>IFERROR(VLOOKUP(A8,Produtos!$A$5:$M$204,2,FALSE),"")</f>
        <v/>
      </c>
      <c r="C8" s="15" t="n"/>
      <c r="D8" s="20" t="n"/>
      <c r="E8" s="20" t="n"/>
      <c r="F8" s="15" t="n"/>
      <c r="G8" s="15" t="n"/>
      <c r="H8" s="17">
        <f>IF(E8="","",E8-TODAY())</f>
        <v/>
      </c>
      <c r="I8" s="17">
        <f>IF(E8="","",IF(E8&lt;TODAY(),"VENCIDO",IF(E8&lt;=TODAY()+7,"VENCE EM 7 DIAS",IF(E8&lt;=TODAY()+30,"VENCE EM 30 DIAS","OK"))))</f>
        <v/>
      </c>
      <c r="J8" s="17">
        <f>IF(A8="","",IF(G8&lt;=0,"SEM ESTOQUE",IF(E8&lt;TODAY(),"VENCIDO",IF(E8&lt;=TODAY()+30,"ATENÇÃO","OK"))))</f>
        <v/>
      </c>
      <c r="K8" s="15" t="n"/>
    </row>
    <row r="9">
      <c r="A9" s="15" t="n"/>
      <c r="B9" s="17">
        <f>IFERROR(VLOOKUP(A9,Produtos!$A$5:$M$204,2,FALSE),"")</f>
        <v/>
      </c>
      <c r="C9" s="15" t="n"/>
      <c r="D9" s="20" t="n"/>
      <c r="E9" s="20" t="n"/>
      <c r="F9" s="15" t="n"/>
      <c r="G9" s="15" t="n"/>
      <c r="H9" s="17">
        <f>IF(E9="","",E9-TODAY())</f>
        <v/>
      </c>
      <c r="I9" s="17">
        <f>IF(E9="","",IF(E9&lt;TODAY(),"VENCIDO",IF(E9&lt;=TODAY()+7,"VENCE EM 7 DIAS",IF(E9&lt;=TODAY()+30,"VENCE EM 30 DIAS","OK"))))</f>
        <v/>
      </c>
      <c r="J9" s="17">
        <f>IF(A9="","",IF(G9&lt;=0,"SEM ESTOQUE",IF(E9&lt;TODAY(),"VENCIDO",IF(E9&lt;=TODAY()+30,"ATENÇÃO","OK"))))</f>
        <v/>
      </c>
      <c r="K9" s="15" t="n"/>
    </row>
    <row r="10">
      <c r="A10" s="15" t="n"/>
      <c r="B10" s="17">
        <f>IFERROR(VLOOKUP(A10,Produtos!$A$5:$M$204,2,FALSE),"")</f>
        <v/>
      </c>
      <c r="C10" s="15" t="n"/>
      <c r="D10" s="20" t="n"/>
      <c r="E10" s="20" t="n"/>
      <c r="F10" s="15" t="n"/>
      <c r="G10" s="15" t="n"/>
      <c r="H10" s="17">
        <f>IF(E10="","",E10-TODAY())</f>
        <v/>
      </c>
      <c r="I10" s="17">
        <f>IF(E10="","",IF(E10&lt;TODAY(),"VENCIDO",IF(E10&lt;=TODAY()+7,"VENCE EM 7 DIAS",IF(E10&lt;=TODAY()+30,"VENCE EM 30 DIAS","OK"))))</f>
        <v/>
      </c>
      <c r="J10" s="17">
        <f>IF(A10="","",IF(G10&lt;=0,"SEM ESTOQUE",IF(E10&lt;TODAY(),"VENCIDO",IF(E10&lt;=TODAY()+30,"ATENÇÃO","OK"))))</f>
        <v/>
      </c>
      <c r="K10" s="15" t="n"/>
    </row>
    <row r="11">
      <c r="A11" s="15" t="n"/>
      <c r="B11" s="17">
        <f>IFERROR(VLOOKUP(A11,Produtos!$A$5:$M$204,2,FALSE),"")</f>
        <v/>
      </c>
      <c r="C11" s="15" t="n"/>
      <c r="D11" s="20" t="n"/>
      <c r="E11" s="20" t="n"/>
      <c r="F11" s="15" t="n"/>
      <c r="G11" s="15" t="n"/>
      <c r="H11" s="17">
        <f>IF(E11="","",E11-TODAY())</f>
        <v/>
      </c>
      <c r="I11" s="17">
        <f>IF(E11="","",IF(E11&lt;TODAY(),"VENCIDO",IF(E11&lt;=TODAY()+7,"VENCE EM 7 DIAS",IF(E11&lt;=TODAY()+30,"VENCE EM 30 DIAS","OK"))))</f>
        <v/>
      </c>
      <c r="J11" s="17">
        <f>IF(A11="","",IF(G11&lt;=0,"SEM ESTOQUE",IF(E11&lt;TODAY(),"VENCIDO",IF(E11&lt;=TODAY()+30,"ATENÇÃO","OK"))))</f>
        <v/>
      </c>
      <c r="K11" s="15" t="n"/>
    </row>
    <row r="12">
      <c r="A12" s="15" t="n"/>
      <c r="B12" s="17">
        <f>IFERROR(VLOOKUP(A12,Produtos!$A$5:$M$204,2,FALSE),"")</f>
        <v/>
      </c>
      <c r="C12" s="15" t="n"/>
      <c r="D12" s="20" t="n"/>
      <c r="E12" s="20" t="n"/>
      <c r="F12" s="15" t="n"/>
      <c r="G12" s="15" t="n"/>
      <c r="H12" s="17">
        <f>IF(E12="","",E12-TODAY())</f>
        <v/>
      </c>
      <c r="I12" s="17">
        <f>IF(E12="","",IF(E12&lt;TODAY(),"VENCIDO",IF(E12&lt;=TODAY()+7,"VENCE EM 7 DIAS",IF(E12&lt;=TODAY()+30,"VENCE EM 30 DIAS","OK"))))</f>
        <v/>
      </c>
      <c r="J12" s="17">
        <f>IF(A12="","",IF(G12&lt;=0,"SEM ESTOQUE",IF(E12&lt;TODAY(),"VENCIDO",IF(E12&lt;=TODAY()+30,"ATENÇÃO","OK"))))</f>
        <v/>
      </c>
      <c r="K12" s="15" t="n"/>
    </row>
    <row r="13">
      <c r="A13" s="15" t="n"/>
      <c r="B13" s="17">
        <f>IFERROR(VLOOKUP(A13,Produtos!$A$5:$M$204,2,FALSE),"")</f>
        <v/>
      </c>
      <c r="C13" s="15" t="n"/>
      <c r="D13" s="20" t="n"/>
      <c r="E13" s="20" t="n"/>
      <c r="F13" s="15" t="n"/>
      <c r="G13" s="15" t="n"/>
      <c r="H13" s="17">
        <f>IF(E13="","",E13-TODAY())</f>
        <v/>
      </c>
      <c r="I13" s="17">
        <f>IF(E13="","",IF(E13&lt;TODAY(),"VENCIDO",IF(E13&lt;=TODAY()+7,"VENCE EM 7 DIAS",IF(E13&lt;=TODAY()+30,"VENCE EM 30 DIAS","OK"))))</f>
        <v/>
      </c>
      <c r="J13" s="17">
        <f>IF(A13="","",IF(G13&lt;=0,"SEM ESTOQUE",IF(E13&lt;TODAY(),"VENCIDO",IF(E13&lt;=TODAY()+30,"ATENÇÃO","OK"))))</f>
        <v/>
      </c>
      <c r="K13" s="15" t="n"/>
    </row>
    <row r="14">
      <c r="A14" s="15" t="n"/>
      <c r="B14" s="17">
        <f>IFERROR(VLOOKUP(A14,Produtos!$A$5:$M$204,2,FALSE),"")</f>
        <v/>
      </c>
      <c r="C14" s="15" t="n"/>
      <c r="D14" s="20" t="n"/>
      <c r="E14" s="20" t="n"/>
      <c r="F14" s="15" t="n"/>
      <c r="G14" s="15" t="n"/>
      <c r="H14" s="17">
        <f>IF(E14="","",E14-TODAY())</f>
        <v/>
      </c>
      <c r="I14" s="17">
        <f>IF(E14="","",IF(E14&lt;TODAY(),"VENCIDO",IF(E14&lt;=TODAY()+7,"VENCE EM 7 DIAS",IF(E14&lt;=TODAY()+30,"VENCE EM 30 DIAS","OK"))))</f>
        <v/>
      </c>
      <c r="J14" s="17">
        <f>IF(A14="","",IF(G14&lt;=0,"SEM ESTOQUE",IF(E14&lt;TODAY(),"VENCIDO",IF(E14&lt;=TODAY()+30,"ATENÇÃO","OK"))))</f>
        <v/>
      </c>
      <c r="K14" s="15" t="n"/>
    </row>
    <row r="15">
      <c r="A15" s="15" t="n"/>
      <c r="B15" s="17">
        <f>IFERROR(VLOOKUP(A15,Produtos!$A$5:$M$204,2,FALSE),"")</f>
        <v/>
      </c>
      <c r="C15" s="15" t="n"/>
      <c r="D15" s="20" t="n"/>
      <c r="E15" s="20" t="n"/>
      <c r="F15" s="15" t="n"/>
      <c r="G15" s="15" t="n"/>
      <c r="H15" s="17">
        <f>IF(E15="","",E15-TODAY())</f>
        <v/>
      </c>
      <c r="I15" s="17">
        <f>IF(E15="","",IF(E15&lt;TODAY(),"VENCIDO",IF(E15&lt;=TODAY()+7,"VENCE EM 7 DIAS",IF(E15&lt;=TODAY()+30,"VENCE EM 30 DIAS","OK"))))</f>
        <v/>
      </c>
      <c r="J15" s="17">
        <f>IF(A15="","",IF(G15&lt;=0,"SEM ESTOQUE",IF(E15&lt;TODAY(),"VENCIDO",IF(E15&lt;=TODAY()+30,"ATENÇÃO","OK"))))</f>
        <v/>
      </c>
      <c r="K15" s="15" t="n"/>
    </row>
    <row r="16">
      <c r="A16" s="15" t="n"/>
      <c r="B16" s="17">
        <f>IFERROR(VLOOKUP(A16,Produtos!$A$5:$M$204,2,FALSE),"")</f>
        <v/>
      </c>
      <c r="C16" s="15" t="n"/>
      <c r="D16" s="20" t="n"/>
      <c r="E16" s="20" t="n"/>
      <c r="F16" s="15" t="n"/>
      <c r="G16" s="15" t="n"/>
      <c r="H16" s="17">
        <f>IF(E16="","",E16-TODAY())</f>
        <v/>
      </c>
      <c r="I16" s="17">
        <f>IF(E16="","",IF(E16&lt;TODAY(),"VENCIDO",IF(E16&lt;=TODAY()+7,"VENCE EM 7 DIAS",IF(E16&lt;=TODAY()+30,"VENCE EM 30 DIAS","OK"))))</f>
        <v/>
      </c>
      <c r="J16" s="17">
        <f>IF(A16="","",IF(G16&lt;=0,"SEM ESTOQUE",IF(E16&lt;TODAY(),"VENCIDO",IF(E16&lt;=TODAY()+30,"ATENÇÃO","OK"))))</f>
        <v/>
      </c>
      <c r="K16" s="15" t="n"/>
    </row>
    <row r="17">
      <c r="A17" s="15" t="n"/>
      <c r="B17" s="17">
        <f>IFERROR(VLOOKUP(A17,Produtos!$A$5:$M$204,2,FALSE),"")</f>
        <v/>
      </c>
      <c r="C17" s="15" t="n"/>
      <c r="D17" s="20" t="n"/>
      <c r="E17" s="20" t="n"/>
      <c r="F17" s="15" t="n"/>
      <c r="G17" s="15" t="n"/>
      <c r="H17" s="17">
        <f>IF(E17="","",E17-TODAY())</f>
        <v/>
      </c>
      <c r="I17" s="17">
        <f>IF(E17="","",IF(E17&lt;TODAY(),"VENCIDO",IF(E17&lt;=TODAY()+7,"VENCE EM 7 DIAS",IF(E17&lt;=TODAY()+30,"VENCE EM 30 DIAS","OK"))))</f>
        <v/>
      </c>
      <c r="J17" s="17">
        <f>IF(A17="","",IF(G17&lt;=0,"SEM ESTOQUE",IF(E17&lt;TODAY(),"VENCIDO",IF(E17&lt;=TODAY()+30,"ATENÇÃO","OK"))))</f>
        <v/>
      </c>
      <c r="K17" s="15" t="n"/>
    </row>
    <row r="18">
      <c r="A18" s="15" t="n"/>
      <c r="B18" s="17">
        <f>IFERROR(VLOOKUP(A18,Produtos!$A$5:$M$204,2,FALSE),"")</f>
        <v/>
      </c>
      <c r="C18" s="15" t="n"/>
      <c r="D18" s="20" t="n"/>
      <c r="E18" s="20" t="n"/>
      <c r="F18" s="15" t="n"/>
      <c r="G18" s="15" t="n"/>
      <c r="H18" s="17">
        <f>IF(E18="","",E18-TODAY())</f>
        <v/>
      </c>
      <c r="I18" s="17">
        <f>IF(E18="","",IF(E18&lt;TODAY(),"VENCIDO",IF(E18&lt;=TODAY()+7,"VENCE EM 7 DIAS",IF(E18&lt;=TODAY()+30,"VENCE EM 30 DIAS","OK"))))</f>
        <v/>
      </c>
      <c r="J18" s="17">
        <f>IF(A18="","",IF(G18&lt;=0,"SEM ESTOQUE",IF(E18&lt;TODAY(),"VENCIDO",IF(E18&lt;=TODAY()+30,"ATENÇÃO","OK"))))</f>
        <v/>
      </c>
      <c r="K18" s="15" t="n"/>
    </row>
    <row r="19">
      <c r="A19" s="15" t="n"/>
      <c r="B19" s="17">
        <f>IFERROR(VLOOKUP(A19,Produtos!$A$5:$M$204,2,FALSE),"")</f>
        <v/>
      </c>
      <c r="C19" s="15" t="n"/>
      <c r="D19" s="20" t="n"/>
      <c r="E19" s="20" t="n"/>
      <c r="F19" s="15" t="n"/>
      <c r="G19" s="15" t="n"/>
      <c r="H19" s="17">
        <f>IF(E19="","",E19-TODAY())</f>
        <v/>
      </c>
      <c r="I19" s="17">
        <f>IF(E19="","",IF(E19&lt;TODAY(),"VENCIDO",IF(E19&lt;=TODAY()+7,"VENCE EM 7 DIAS",IF(E19&lt;=TODAY()+30,"VENCE EM 30 DIAS","OK"))))</f>
        <v/>
      </c>
      <c r="J19" s="17">
        <f>IF(A19="","",IF(G19&lt;=0,"SEM ESTOQUE",IF(E19&lt;TODAY(),"VENCIDO",IF(E19&lt;=TODAY()+30,"ATENÇÃO","OK"))))</f>
        <v/>
      </c>
      <c r="K19" s="15" t="n"/>
    </row>
    <row r="20">
      <c r="A20" s="15" t="n"/>
      <c r="B20" s="17">
        <f>IFERROR(VLOOKUP(A20,Produtos!$A$5:$M$204,2,FALSE),"")</f>
        <v/>
      </c>
      <c r="C20" s="15" t="n"/>
      <c r="D20" s="20" t="n"/>
      <c r="E20" s="20" t="n"/>
      <c r="F20" s="15" t="n"/>
      <c r="G20" s="15" t="n"/>
      <c r="H20" s="17">
        <f>IF(E20="","",E20-TODAY())</f>
        <v/>
      </c>
      <c r="I20" s="17">
        <f>IF(E20="","",IF(E20&lt;TODAY(),"VENCIDO",IF(E20&lt;=TODAY()+7,"VENCE EM 7 DIAS",IF(E20&lt;=TODAY()+30,"VENCE EM 30 DIAS","OK"))))</f>
        <v/>
      </c>
      <c r="J20" s="17">
        <f>IF(A20="","",IF(G20&lt;=0,"SEM ESTOQUE",IF(E20&lt;TODAY(),"VENCIDO",IF(E20&lt;=TODAY()+30,"ATENÇÃO","OK"))))</f>
        <v/>
      </c>
      <c r="K20" s="15" t="n"/>
    </row>
    <row r="21">
      <c r="A21" s="15" t="n"/>
      <c r="B21" s="17">
        <f>IFERROR(VLOOKUP(A21,Produtos!$A$5:$M$204,2,FALSE),"")</f>
        <v/>
      </c>
      <c r="C21" s="15" t="n"/>
      <c r="D21" s="20" t="n"/>
      <c r="E21" s="20" t="n"/>
      <c r="F21" s="15" t="n"/>
      <c r="G21" s="15" t="n"/>
      <c r="H21" s="17">
        <f>IF(E21="","",E21-TODAY())</f>
        <v/>
      </c>
      <c r="I21" s="17">
        <f>IF(E21="","",IF(E21&lt;TODAY(),"VENCIDO",IF(E21&lt;=TODAY()+7,"VENCE EM 7 DIAS",IF(E21&lt;=TODAY()+30,"VENCE EM 30 DIAS","OK"))))</f>
        <v/>
      </c>
      <c r="J21" s="17">
        <f>IF(A21="","",IF(G21&lt;=0,"SEM ESTOQUE",IF(E21&lt;TODAY(),"VENCIDO",IF(E21&lt;=TODAY()+30,"ATENÇÃO","OK"))))</f>
        <v/>
      </c>
      <c r="K21" s="15" t="n"/>
    </row>
    <row r="22">
      <c r="A22" s="15" t="n"/>
      <c r="B22" s="17">
        <f>IFERROR(VLOOKUP(A22,Produtos!$A$5:$M$204,2,FALSE),"")</f>
        <v/>
      </c>
      <c r="C22" s="15" t="n"/>
      <c r="D22" s="20" t="n"/>
      <c r="E22" s="20" t="n"/>
      <c r="F22" s="15" t="n"/>
      <c r="G22" s="15" t="n"/>
      <c r="H22" s="17">
        <f>IF(E22="","",E22-TODAY())</f>
        <v/>
      </c>
      <c r="I22" s="17">
        <f>IF(E22="","",IF(E22&lt;TODAY(),"VENCIDO",IF(E22&lt;=TODAY()+7,"VENCE EM 7 DIAS",IF(E22&lt;=TODAY()+30,"VENCE EM 30 DIAS","OK"))))</f>
        <v/>
      </c>
      <c r="J22" s="17">
        <f>IF(A22="","",IF(G22&lt;=0,"SEM ESTOQUE",IF(E22&lt;TODAY(),"VENCIDO",IF(E22&lt;=TODAY()+30,"ATENÇÃO","OK"))))</f>
        <v/>
      </c>
      <c r="K22" s="15" t="n"/>
    </row>
    <row r="23">
      <c r="A23" s="15" t="n"/>
      <c r="B23" s="17">
        <f>IFERROR(VLOOKUP(A23,Produtos!$A$5:$M$204,2,FALSE),"")</f>
        <v/>
      </c>
      <c r="C23" s="15" t="n"/>
      <c r="D23" s="20" t="n"/>
      <c r="E23" s="20" t="n"/>
      <c r="F23" s="15" t="n"/>
      <c r="G23" s="15" t="n"/>
      <c r="H23" s="17">
        <f>IF(E23="","",E23-TODAY())</f>
        <v/>
      </c>
      <c r="I23" s="17">
        <f>IF(E23="","",IF(E23&lt;TODAY(),"VENCIDO",IF(E23&lt;=TODAY()+7,"VENCE EM 7 DIAS",IF(E23&lt;=TODAY()+30,"VENCE EM 30 DIAS","OK"))))</f>
        <v/>
      </c>
      <c r="J23" s="17">
        <f>IF(A23="","",IF(G23&lt;=0,"SEM ESTOQUE",IF(E23&lt;TODAY(),"VENCIDO",IF(E23&lt;=TODAY()+30,"ATENÇÃO","OK"))))</f>
        <v/>
      </c>
      <c r="K23" s="15" t="n"/>
    </row>
    <row r="24">
      <c r="A24" s="15" t="n"/>
      <c r="B24" s="17">
        <f>IFERROR(VLOOKUP(A24,Produtos!$A$5:$M$204,2,FALSE),"")</f>
        <v/>
      </c>
      <c r="C24" s="15" t="n"/>
      <c r="D24" s="20" t="n"/>
      <c r="E24" s="20" t="n"/>
      <c r="F24" s="15" t="n"/>
      <c r="G24" s="15" t="n"/>
      <c r="H24" s="17">
        <f>IF(E24="","",E24-TODAY())</f>
        <v/>
      </c>
      <c r="I24" s="17">
        <f>IF(E24="","",IF(E24&lt;TODAY(),"VENCIDO",IF(E24&lt;=TODAY()+7,"VENCE EM 7 DIAS",IF(E24&lt;=TODAY()+30,"VENCE EM 30 DIAS","OK"))))</f>
        <v/>
      </c>
      <c r="J24" s="17">
        <f>IF(A24="","",IF(G24&lt;=0,"SEM ESTOQUE",IF(E24&lt;TODAY(),"VENCIDO",IF(E24&lt;=TODAY()+30,"ATENÇÃO","OK"))))</f>
        <v/>
      </c>
      <c r="K24" s="15" t="n"/>
    </row>
    <row r="25">
      <c r="A25" s="15" t="n"/>
      <c r="B25" s="17">
        <f>IFERROR(VLOOKUP(A25,Produtos!$A$5:$M$204,2,FALSE),"")</f>
        <v/>
      </c>
      <c r="C25" s="15" t="n"/>
      <c r="D25" s="20" t="n"/>
      <c r="E25" s="20" t="n"/>
      <c r="F25" s="15" t="n"/>
      <c r="G25" s="15" t="n"/>
      <c r="H25" s="17">
        <f>IF(E25="","",E25-TODAY())</f>
        <v/>
      </c>
      <c r="I25" s="17">
        <f>IF(E25="","",IF(E25&lt;TODAY(),"VENCIDO",IF(E25&lt;=TODAY()+7,"VENCE EM 7 DIAS",IF(E25&lt;=TODAY()+30,"VENCE EM 30 DIAS","OK"))))</f>
        <v/>
      </c>
      <c r="J25" s="17">
        <f>IF(A25="","",IF(G25&lt;=0,"SEM ESTOQUE",IF(E25&lt;TODAY(),"VENCIDO",IF(E25&lt;=TODAY()+30,"ATENÇÃO","OK"))))</f>
        <v/>
      </c>
      <c r="K25" s="15" t="n"/>
    </row>
    <row r="26">
      <c r="A26" s="15" t="n"/>
      <c r="B26" s="17">
        <f>IFERROR(VLOOKUP(A26,Produtos!$A$5:$M$204,2,FALSE),"")</f>
        <v/>
      </c>
      <c r="C26" s="15" t="n"/>
      <c r="D26" s="20" t="n"/>
      <c r="E26" s="20" t="n"/>
      <c r="F26" s="15" t="n"/>
      <c r="G26" s="15" t="n"/>
      <c r="H26" s="17">
        <f>IF(E26="","",E26-TODAY())</f>
        <v/>
      </c>
      <c r="I26" s="17">
        <f>IF(E26="","",IF(E26&lt;TODAY(),"VENCIDO",IF(E26&lt;=TODAY()+7,"VENCE EM 7 DIAS",IF(E26&lt;=TODAY()+30,"VENCE EM 30 DIAS","OK"))))</f>
        <v/>
      </c>
      <c r="J26" s="17">
        <f>IF(A26="","",IF(G26&lt;=0,"SEM ESTOQUE",IF(E26&lt;TODAY(),"VENCIDO",IF(E26&lt;=TODAY()+30,"ATENÇÃO","OK"))))</f>
        <v/>
      </c>
      <c r="K26" s="15" t="n"/>
    </row>
    <row r="27">
      <c r="A27" s="15" t="n"/>
      <c r="B27" s="17">
        <f>IFERROR(VLOOKUP(A27,Produtos!$A$5:$M$204,2,FALSE),"")</f>
        <v/>
      </c>
      <c r="C27" s="15" t="n"/>
      <c r="D27" s="20" t="n"/>
      <c r="E27" s="20" t="n"/>
      <c r="F27" s="15" t="n"/>
      <c r="G27" s="15" t="n"/>
      <c r="H27" s="17">
        <f>IF(E27="","",E27-TODAY())</f>
        <v/>
      </c>
      <c r="I27" s="17">
        <f>IF(E27="","",IF(E27&lt;TODAY(),"VENCIDO",IF(E27&lt;=TODAY()+7,"VENCE EM 7 DIAS",IF(E27&lt;=TODAY()+30,"VENCE EM 30 DIAS","OK"))))</f>
        <v/>
      </c>
      <c r="J27" s="17">
        <f>IF(A27="","",IF(G27&lt;=0,"SEM ESTOQUE",IF(E27&lt;TODAY(),"VENCIDO",IF(E27&lt;=TODAY()+30,"ATENÇÃO","OK"))))</f>
        <v/>
      </c>
      <c r="K27" s="15" t="n"/>
    </row>
    <row r="28">
      <c r="A28" s="15" t="n"/>
      <c r="B28" s="17">
        <f>IFERROR(VLOOKUP(A28,Produtos!$A$5:$M$204,2,FALSE),"")</f>
        <v/>
      </c>
      <c r="C28" s="15" t="n"/>
      <c r="D28" s="20" t="n"/>
      <c r="E28" s="20" t="n"/>
      <c r="F28" s="15" t="n"/>
      <c r="G28" s="15" t="n"/>
      <c r="H28" s="17">
        <f>IF(E28="","",E28-TODAY())</f>
        <v/>
      </c>
      <c r="I28" s="17">
        <f>IF(E28="","",IF(E28&lt;TODAY(),"VENCIDO",IF(E28&lt;=TODAY()+7,"VENCE EM 7 DIAS",IF(E28&lt;=TODAY()+30,"VENCE EM 30 DIAS","OK"))))</f>
        <v/>
      </c>
      <c r="J28" s="17">
        <f>IF(A28="","",IF(G28&lt;=0,"SEM ESTOQUE",IF(E28&lt;TODAY(),"VENCIDO",IF(E28&lt;=TODAY()+30,"ATENÇÃO","OK"))))</f>
        <v/>
      </c>
      <c r="K28" s="15" t="n"/>
    </row>
    <row r="29">
      <c r="A29" s="15" t="n"/>
      <c r="B29" s="17">
        <f>IFERROR(VLOOKUP(A29,Produtos!$A$5:$M$204,2,FALSE),"")</f>
        <v/>
      </c>
      <c r="C29" s="15" t="n"/>
      <c r="D29" s="20" t="n"/>
      <c r="E29" s="20" t="n"/>
      <c r="F29" s="15" t="n"/>
      <c r="G29" s="15" t="n"/>
      <c r="H29" s="17">
        <f>IF(E29="","",E29-TODAY())</f>
        <v/>
      </c>
      <c r="I29" s="17">
        <f>IF(E29="","",IF(E29&lt;TODAY(),"VENCIDO",IF(E29&lt;=TODAY()+7,"VENCE EM 7 DIAS",IF(E29&lt;=TODAY()+30,"VENCE EM 30 DIAS","OK"))))</f>
        <v/>
      </c>
      <c r="J29" s="17">
        <f>IF(A29="","",IF(G29&lt;=0,"SEM ESTOQUE",IF(E29&lt;TODAY(),"VENCIDO",IF(E29&lt;=TODAY()+30,"ATENÇÃO","OK"))))</f>
        <v/>
      </c>
      <c r="K29" s="15" t="n"/>
    </row>
    <row r="30">
      <c r="A30" s="15" t="n"/>
      <c r="B30" s="17">
        <f>IFERROR(VLOOKUP(A30,Produtos!$A$5:$M$204,2,FALSE),"")</f>
        <v/>
      </c>
      <c r="C30" s="15" t="n"/>
      <c r="D30" s="20" t="n"/>
      <c r="E30" s="20" t="n"/>
      <c r="F30" s="15" t="n"/>
      <c r="G30" s="15" t="n"/>
      <c r="H30" s="17">
        <f>IF(E30="","",E30-TODAY())</f>
        <v/>
      </c>
      <c r="I30" s="17">
        <f>IF(E30="","",IF(E30&lt;TODAY(),"VENCIDO",IF(E30&lt;=TODAY()+7,"VENCE EM 7 DIAS",IF(E30&lt;=TODAY()+30,"VENCE EM 30 DIAS","OK"))))</f>
        <v/>
      </c>
      <c r="J30" s="17">
        <f>IF(A30="","",IF(G30&lt;=0,"SEM ESTOQUE",IF(E30&lt;TODAY(),"VENCIDO",IF(E30&lt;=TODAY()+30,"ATENÇÃO","OK"))))</f>
        <v/>
      </c>
      <c r="K30" s="15" t="n"/>
    </row>
    <row r="31">
      <c r="A31" s="15" t="n"/>
      <c r="B31" s="17">
        <f>IFERROR(VLOOKUP(A31,Produtos!$A$5:$M$204,2,FALSE),"")</f>
        <v/>
      </c>
      <c r="C31" s="15" t="n"/>
      <c r="D31" s="20" t="n"/>
      <c r="E31" s="20" t="n"/>
      <c r="F31" s="15" t="n"/>
      <c r="G31" s="15" t="n"/>
      <c r="H31" s="17">
        <f>IF(E31="","",E31-TODAY())</f>
        <v/>
      </c>
      <c r="I31" s="17">
        <f>IF(E31="","",IF(E31&lt;TODAY(),"VENCIDO",IF(E31&lt;=TODAY()+7,"VENCE EM 7 DIAS",IF(E31&lt;=TODAY()+30,"VENCE EM 30 DIAS","OK"))))</f>
        <v/>
      </c>
      <c r="J31" s="17">
        <f>IF(A31="","",IF(G31&lt;=0,"SEM ESTOQUE",IF(E31&lt;TODAY(),"VENCIDO",IF(E31&lt;=TODAY()+30,"ATENÇÃO","OK"))))</f>
        <v/>
      </c>
      <c r="K31" s="15" t="n"/>
    </row>
    <row r="32">
      <c r="A32" s="15" t="n"/>
      <c r="B32" s="17">
        <f>IFERROR(VLOOKUP(A32,Produtos!$A$5:$M$204,2,FALSE),"")</f>
        <v/>
      </c>
      <c r="C32" s="15" t="n"/>
      <c r="D32" s="20" t="n"/>
      <c r="E32" s="20" t="n"/>
      <c r="F32" s="15" t="n"/>
      <c r="G32" s="15" t="n"/>
      <c r="H32" s="17">
        <f>IF(E32="","",E32-TODAY())</f>
        <v/>
      </c>
      <c r="I32" s="17">
        <f>IF(E32="","",IF(E32&lt;TODAY(),"VENCIDO",IF(E32&lt;=TODAY()+7,"VENCE EM 7 DIAS",IF(E32&lt;=TODAY()+30,"VENCE EM 30 DIAS","OK"))))</f>
        <v/>
      </c>
      <c r="J32" s="17">
        <f>IF(A32="","",IF(G32&lt;=0,"SEM ESTOQUE",IF(E32&lt;TODAY(),"VENCIDO",IF(E32&lt;=TODAY()+30,"ATENÇÃO","OK"))))</f>
        <v/>
      </c>
      <c r="K32" s="15" t="n"/>
    </row>
    <row r="33">
      <c r="A33" s="15" t="n"/>
      <c r="B33" s="17">
        <f>IFERROR(VLOOKUP(A33,Produtos!$A$5:$M$204,2,FALSE),"")</f>
        <v/>
      </c>
      <c r="C33" s="15" t="n"/>
      <c r="D33" s="20" t="n"/>
      <c r="E33" s="20" t="n"/>
      <c r="F33" s="15" t="n"/>
      <c r="G33" s="15" t="n"/>
      <c r="H33" s="17">
        <f>IF(E33="","",E33-TODAY())</f>
        <v/>
      </c>
      <c r="I33" s="17">
        <f>IF(E33="","",IF(E33&lt;TODAY(),"VENCIDO",IF(E33&lt;=TODAY()+7,"VENCE EM 7 DIAS",IF(E33&lt;=TODAY()+30,"VENCE EM 30 DIAS","OK"))))</f>
        <v/>
      </c>
      <c r="J33" s="17">
        <f>IF(A33="","",IF(G33&lt;=0,"SEM ESTOQUE",IF(E33&lt;TODAY(),"VENCIDO",IF(E33&lt;=TODAY()+30,"ATENÇÃO","OK"))))</f>
        <v/>
      </c>
      <c r="K33" s="15" t="n"/>
    </row>
    <row r="34">
      <c r="A34" s="15" t="n"/>
      <c r="B34" s="17">
        <f>IFERROR(VLOOKUP(A34,Produtos!$A$5:$M$204,2,FALSE),"")</f>
        <v/>
      </c>
      <c r="C34" s="15" t="n"/>
      <c r="D34" s="20" t="n"/>
      <c r="E34" s="20" t="n"/>
      <c r="F34" s="15" t="n"/>
      <c r="G34" s="15" t="n"/>
      <c r="H34" s="17">
        <f>IF(E34="","",E34-TODAY())</f>
        <v/>
      </c>
      <c r="I34" s="17">
        <f>IF(E34="","",IF(E34&lt;TODAY(),"VENCIDO",IF(E34&lt;=TODAY()+7,"VENCE EM 7 DIAS",IF(E34&lt;=TODAY()+30,"VENCE EM 30 DIAS","OK"))))</f>
        <v/>
      </c>
      <c r="J34" s="17">
        <f>IF(A34="","",IF(G34&lt;=0,"SEM ESTOQUE",IF(E34&lt;TODAY(),"VENCIDO",IF(E34&lt;=TODAY()+30,"ATENÇÃO","OK"))))</f>
        <v/>
      </c>
      <c r="K34" s="15" t="n"/>
    </row>
    <row r="35">
      <c r="A35" s="15" t="n"/>
      <c r="B35" s="17">
        <f>IFERROR(VLOOKUP(A35,Produtos!$A$5:$M$204,2,FALSE),"")</f>
        <v/>
      </c>
      <c r="C35" s="15" t="n"/>
      <c r="D35" s="20" t="n"/>
      <c r="E35" s="20" t="n"/>
      <c r="F35" s="15" t="n"/>
      <c r="G35" s="15" t="n"/>
      <c r="H35" s="17">
        <f>IF(E35="","",E35-TODAY())</f>
        <v/>
      </c>
      <c r="I35" s="17">
        <f>IF(E35="","",IF(E35&lt;TODAY(),"VENCIDO",IF(E35&lt;=TODAY()+7,"VENCE EM 7 DIAS",IF(E35&lt;=TODAY()+30,"VENCE EM 30 DIAS","OK"))))</f>
        <v/>
      </c>
      <c r="J35" s="17">
        <f>IF(A35="","",IF(G35&lt;=0,"SEM ESTOQUE",IF(E35&lt;TODAY(),"VENCIDO",IF(E35&lt;=TODAY()+30,"ATENÇÃO","OK"))))</f>
        <v/>
      </c>
      <c r="K35" s="15" t="n"/>
    </row>
    <row r="36">
      <c r="A36" s="15" t="n"/>
      <c r="B36" s="17">
        <f>IFERROR(VLOOKUP(A36,Produtos!$A$5:$M$204,2,FALSE),"")</f>
        <v/>
      </c>
      <c r="C36" s="15" t="n"/>
      <c r="D36" s="20" t="n"/>
      <c r="E36" s="20" t="n"/>
      <c r="F36" s="15" t="n"/>
      <c r="G36" s="15" t="n"/>
      <c r="H36" s="17">
        <f>IF(E36="","",E36-TODAY())</f>
        <v/>
      </c>
      <c r="I36" s="17">
        <f>IF(E36="","",IF(E36&lt;TODAY(),"VENCIDO",IF(E36&lt;=TODAY()+7,"VENCE EM 7 DIAS",IF(E36&lt;=TODAY()+30,"VENCE EM 30 DIAS","OK"))))</f>
        <v/>
      </c>
      <c r="J36" s="17">
        <f>IF(A36="","",IF(G36&lt;=0,"SEM ESTOQUE",IF(E36&lt;TODAY(),"VENCIDO",IF(E36&lt;=TODAY()+30,"ATENÇÃO","OK"))))</f>
        <v/>
      </c>
      <c r="K36" s="15" t="n"/>
    </row>
    <row r="37">
      <c r="A37" s="15" t="n"/>
      <c r="B37" s="17">
        <f>IFERROR(VLOOKUP(A37,Produtos!$A$5:$M$204,2,FALSE),"")</f>
        <v/>
      </c>
      <c r="C37" s="15" t="n"/>
      <c r="D37" s="20" t="n"/>
      <c r="E37" s="20" t="n"/>
      <c r="F37" s="15" t="n"/>
      <c r="G37" s="15" t="n"/>
      <c r="H37" s="17">
        <f>IF(E37="","",E37-TODAY())</f>
        <v/>
      </c>
      <c r="I37" s="17">
        <f>IF(E37="","",IF(E37&lt;TODAY(),"VENCIDO",IF(E37&lt;=TODAY()+7,"VENCE EM 7 DIAS",IF(E37&lt;=TODAY()+30,"VENCE EM 30 DIAS","OK"))))</f>
        <v/>
      </c>
      <c r="J37" s="17">
        <f>IF(A37="","",IF(G37&lt;=0,"SEM ESTOQUE",IF(E37&lt;TODAY(),"VENCIDO",IF(E37&lt;=TODAY()+30,"ATENÇÃO","OK"))))</f>
        <v/>
      </c>
      <c r="K37" s="15" t="n"/>
    </row>
    <row r="38">
      <c r="A38" s="15" t="n"/>
      <c r="B38" s="17">
        <f>IFERROR(VLOOKUP(A38,Produtos!$A$5:$M$204,2,FALSE),"")</f>
        <v/>
      </c>
      <c r="C38" s="15" t="n"/>
      <c r="D38" s="20" t="n"/>
      <c r="E38" s="20" t="n"/>
      <c r="F38" s="15" t="n"/>
      <c r="G38" s="15" t="n"/>
      <c r="H38" s="17">
        <f>IF(E38="","",E38-TODAY())</f>
        <v/>
      </c>
      <c r="I38" s="17">
        <f>IF(E38="","",IF(E38&lt;TODAY(),"VENCIDO",IF(E38&lt;=TODAY()+7,"VENCE EM 7 DIAS",IF(E38&lt;=TODAY()+30,"VENCE EM 30 DIAS","OK"))))</f>
        <v/>
      </c>
      <c r="J38" s="17">
        <f>IF(A38="","",IF(G38&lt;=0,"SEM ESTOQUE",IF(E38&lt;TODAY(),"VENCIDO",IF(E38&lt;=TODAY()+30,"ATENÇÃO","OK"))))</f>
        <v/>
      </c>
      <c r="K38" s="15" t="n"/>
    </row>
    <row r="39">
      <c r="A39" s="15" t="n"/>
      <c r="B39" s="17">
        <f>IFERROR(VLOOKUP(A39,Produtos!$A$5:$M$204,2,FALSE),"")</f>
        <v/>
      </c>
      <c r="C39" s="15" t="n"/>
      <c r="D39" s="20" t="n"/>
      <c r="E39" s="20" t="n"/>
      <c r="F39" s="15" t="n"/>
      <c r="G39" s="15" t="n"/>
      <c r="H39" s="17">
        <f>IF(E39="","",E39-TODAY())</f>
        <v/>
      </c>
      <c r="I39" s="17">
        <f>IF(E39="","",IF(E39&lt;TODAY(),"VENCIDO",IF(E39&lt;=TODAY()+7,"VENCE EM 7 DIAS",IF(E39&lt;=TODAY()+30,"VENCE EM 30 DIAS","OK"))))</f>
        <v/>
      </c>
      <c r="J39" s="17">
        <f>IF(A39="","",IF(G39&lt;=0,"SEM ESTOQUE",IF(E39&lt;TODAY(),"VENCIDO",IF(E39&lt;=TODAY()+30,"ATENÇÃO","OK"))))</f>
        <v/>
      </c>
      <c r="K39" s="15" t="n"/>
    </row>
    <row r="40">
      <c r="A40" s="15" t="n"/>
      <c r="B40" s="17">
        <f>IFERROR(VLOOKUP(A40,Produtos!$A$5:$M$204,2,FALSE),"")</f>
        <v/>
      </c>
      <c r="C40" s="15" t="n"/>
      <c r="D40" s="20" t="n"/>
      <c r="E40" s="20" t="n"/>
      <c r="F40" s="15" t="n"/>
      <c r="G40" s="15" t="n"/>
      <c r="H40" s="17">
        <f>IF(E40="","",E40-TODAY())</f>
        <v/>
      </c>
      <c r="I40" s="17">
        <f>IF(E40="","",IF(E40&lt;TODAY(),"VENCIDO",IF(E40&lt;=TODAY()+7,"VENCE EM 7 DIAS",IF(E40&lt;=TODAY()+30,"VENCE EM 30 DIAS","OK"))))</f>
        <v/>
      </c>
      <c r="J40" s="17">
        <f>IF(A40="","",IF(G40&lt;=0,"SEM ESTOQUE",IF(E40&lt;TODAY(),"VENCIDO",IF(E40&lt;=TODAY()+30,"ATENÇÃO","OK"))))</f>
        <v/>
      </c>
      <c r="K40" s="15" t="n"/>
    </row>
    <row r="41">
      <c r="A41" s="15" t="n"/>
      <c r="B41" s="17">
        <f>IFERROR(VLOOKUP(A41,Produtos!$A$5:$M$204,2,FALSE),"")</f>
        <v/>
      </c>
      <c r="C41" s="15" t="n"/>
      <c r="D41" s="20" t="n"/>
      <c r="E41" s="20" t="n"/>
      <c r="F41" s="15" t="n"/>
      <c r="G41" s="15" t="n"/>
      <c r="H41" s="17">
        <f>IF(E41="","",E41-TODAY())</f>
        <v/>
      </c>
      <c r="I41" s="17">
        <f>IF(E41="","",IF(E41&lt;TODAY(),"VENCIDO",IF(E41&lt;=TODAY()+7,"VENCE EM 7 DIAS",IF(E41&lt;=TODAY()+30,"VENCE EM 30 DIAS","OK"))))</f>
        <v/>
      </c>
      <c r="J41" s="17">
        <f>IF(A41="","",IF(G41&lt;=0,"SEM ESTOQUE",IF(E41&lt;TODAY(),"VENCIDO",IF(E41&lt;=TODAY()+30,"ATENÇÃO","OK"))))</f>
        <v/>
      </c>
      <c r="K41" s="15" t="n"/>
    </row>
    <row r="42">
      <c r="A42" s="15" t="n"/>
      <c r="B42" s="17">
        <f>IFERROR(VLOOKUP(A42,Produtos!$A$5:$M$204,2,FALSE),"")</f>
        <v/>
      </c>
      <c r="C42" s="15" t="n"/>
      <c r="D42" s="20" t="n"/>
      <c r="E42" s="20" t="n"/>
      <c r="F42" s="15" t="n"/>
      <c r="G42" s="15" t="n"/>
      <c r="H42" s="17">
        <f>IF(E42="","",E42-TODAY())</f>
        <v/>
      </c>
      <c r="I42" s="17">
        <f>IF(E42="","",IF(E42&lt;TODAY(),"VENCIDO",IF(E42&lt;=TODAY()+7,"VENCE EM 7 DIAS",IF(E42&lt;=TODAY()+30,"VENCE EM 30 DIAS","OK"))))</f>
        <v/>
      </c>
      <c r="J42" s="17">
        <f>IF(A42="","",IF(G42&lt;=0,"SEM ESTOQUE",IF(E42&lt;TODAY(),"VENCIDO",IF(E42&lt;=TODAY()+30,"ATENÇÃO","OK"))))</f>
        <v/>
      </c>
      <c r="K42" s="15" t="n"/>
    </row>
    <row r="43">
      <c r="A43" s="15" t="n"/>
      <c r="B43" s="17">
        <f>IFERROR(VLOOKUP(A43,Produtos!$A$5:$M$204,2,FALSE),"")</f>
        <v/>
      </c>
      <c r="C43" s="15" t="n"/>
      <c r="D43" s="20" t="n"/>
      <c r="E43" s="20" t="n"/>
      <c r="F43" s="15" t="n"/>
      <c r="G43" s="15" t="n"/>
      <c r="H43" s="17">
        <f>IF(E43="","",E43-TODAY())</f>
        <v/>
      </c>
      <c r="I43" s="17">
        <f>IF(E43="","",IF(E43&lt;TODAY(),"VENCIDO",IF(E43&lt;=TODAY()+7,"VENCE EM 7 DIAS",IF(E43&lt;=TODAY()+30,"VENCE EM 30 DIAS","OK"))))</f>
        <v/>
      </c>
      <c r="J43" s="17">
        <f>IF(A43="","",IF(G43&lt;=0,"SEM ESTOQUE",IF(E43&lt;TODAY(),"VENCIDO",IF(E43&lt;=TODAY()+30,"ATENÇÃO","OK"))))</f>
        <v/>
      </c>
      <c r="K43" s="15" t="n"/>
    </row>
    <row r="44">
      <c r="A44" s="15" t="n"/>
      <c r="B44" s="17">
        <f>IFERROR(VLOOKUP(A44,Produtos!$A$5:$M$204,2,FALSE),"")</f>
        <v/>
      </c>
      <c r="C44" s="15" t="n"/>
      <c r="D44" s="20" t="n"/>
      <c r="E44" s="20" t="n"/>
      <c r="F44" s="15" t="n"/>
      <c r="G44" s="15" t="n"/>
      <c r="H44" s="17">
        <f>IF(E44="","",E44-TODAY())</f>
        <v/>
      </c>
      <c r="I44" s="17">
        <f>IF(E44="","",IF(E44&lt;TODAY(),"VENCIDO",IF(E44&lt;=TODAY()+7,"VENCE EM 7 DIAS",IF(E44&lt;=TODAY()+30,"VENCE EM 30 DIAS","OK"))))</f>
        <v/>
      </c>
      <c r="J44" s="17">
        <f>IF(A44="","",IF(G44&lt;=0,"SEM ESTOQUE",IF(E44&lt;TODAY(),"VENCIDO",IF(E44&lt;=TODAY()+30,"ATENÇÃO","OK"))))</f>
        <v/>
      </c>
      <c r="K44" s="15" t="n"/>
    </row>
    <row r="45">
      <c r="A45" s="15" t="n"/>
      <c r="B45" s="17">
        <f>IFERROR(VLOOKUP(A45,Produtos!$A$5:$M$204,2,FALSE),"")</f>
        <v/>
      </c>
      <c r="C45" s="15" t="n"/>
      <c r="D45" s="20" t="n"/>
      <c r="E45" s="20" t="n"/>
      <c r="F45" s="15" t="n"/>
      <c r="G45" s="15" t="n"/>
      <c r="H45" s="17">
        <f>IF(E45="","",E45-TODAY())</f>
        <v/>
      </c>
      <c r="I45" s="17">
        <f>IF(E45="","",IF(E45&lt;TODAY(),"VENCIDO",IF(E45&lt;=TODAY()+7,"VENCE EM 7 DIAS",IF(E45&lt;=TODAY()+30,"VENCE EM 30 DIAS","OK"))))</f>
        <v/>
      </c>
      <c r="J45" s="17">
        <f>IF(A45="","",IF(G45&lt;=0,"SEM ESTOQUE",IF(E45&lt;TODAY(),"VENCIDO",IF(E45&lt;=TODAY()+30,"ATENÇÃO","OK"))))</f>
        <v/>
      </c>
      <c r="K45" s="15" t="n"/>
    </row>
    <row r="46">
      <c r="A46" s="15" t="n"/>
      <c r="B46" s="17">
        <f>IFERROR(VLOOKUP(A46,Produtos!$A$5:$M$204,2,FALSE),"")</f>
        <v/>
      </c>
      <c r="C46" s="15" t="n"/>
      <c r="D46" s="20" t="n"/>
      <c r="E46" s="20" t="n"/>
      <c r="F46" s="15" t="n"/>
      <c r="G46" s="15" t="n"/>
      <c r="H46" s="17">
        <f>IF(E46="","",E46-TODAY())</f>
        <v/>
      </c>
      <c r="I46" s="17">
        <f>IF(E46="","",IF(E46&lt;TODAY(),"VENCIDO",IF(E46&lt;=TODAY()+7,"VENCE EM 7 DIAS",IF(E46&lt;=TODAY()+30,"VENCE EM 30 DIAS","OK"))))</f>
        <v/>
      </c>
      <c r="J46" s="17">
        <f>IF(A46="","",IF(G46&lt;=0,"SEM ESTOQUE",IF(E46&lt;TODAY(),"VENCIDO",IF(E46&lt;=TODAY()+30,"ATENÇÃO","OK"))))</f>
        <v/>
      </c>
      <c r="K46" s="15" t="n"/>
    </row>
    <row r="47">
      <c r="A47" s="15" t="n"/>
      <c r="B47" s="17">
        <f>IFERROR(VLOOKUP(A47,Produtos!$A$5:$M$204,2,FALSE),"")</f>
        <v/>
      </c>
      <c r="C47" s="15" t="n"/>
      <c r="D47" s="20" t="n"/>
      <c r="E47" s="20" t="n"/>
      <c r="F47" s="15" t="n"/>
      <c r="G47" s="15" t="n"/>
      <c r="H47" s="17">
        <f>IF(E47="","",E47-TODAY())</f>
        <v/>
      </c>
      <c r="I47" s="17">
        <f>IF(E47="","",IF(E47&lt;TODAY(),"VENCIDO",IF(E47&lt;=TODAY()+7,"VENCE EM 7 DIAS",IF(E47&lt;=TODAY()+30,"VENCE EM 30 DIAS","OK"))))</f>
        <v/>
      </c>
      <c r="J47" s="17">
        <f>IF(A47="","",IF(G47&lt;=0,"SEM ESTOQUE",IF(E47&lt;TODAY(),"VENCIDO",IF(E47&lt;=TODAY()+30,"ATENÇÃO","OK"))))</f>
        <v/>
      </c>
      <c r="K47" s="15" t="n"/>
    </row>
    <row r="48">
      <c r="A48" s="15" t="n"/>
      <c r="B48" s="17">
        <f>IFERROR(VLOOKUP(A48,Produtos!$A$5:$M$204,2,FALSE),"")</f>
        <v/>
      </c>
      <c r="C48" s="15" t="n"/>
      <c r="D48" s="20" t="n"/>
      <c r="E48" s="20" t="n"/>
      <c r="F48" s="15" t="n"/>
      <c r="G48" s="15" t="n"/>
      <c r="H48" s="17">
        <f>IF(E48="","",E48-TODAY())</f>
        <v/>
      </c>
      <c r="I48" s="17">
        <f>IF(E48="","",IF(E48&lt;TODAY(),"VENCIDO",IF(E48&lt;=TODAY()+7,"VENCE EM 7 DIAS",IF(E48&lt;=TODAY()+30,"VENCE EM 30 DIAS","OK"))))</f>
        <v/>
      </c>
      <c r="J48" s="17">
        <f>IF(A48="","",IF(G48&lt;=0,"SEM ESTOQUE",IF(E48&lt;TODAY(),"VENCIDO",IF(E48&lt;=TODAY()+30,"ATENÇÃO","OK"))))</f>
        <v/>
      </c>
      <c r="K48" s="15" t="n"/>
    </row>
    <row r="49">
      <c r="A49" s="15" t="n"/>
      <c r="B49" s="17">
        <f>IFERROR(VLOOKUP(A49,Produtos!$A$5:$M$204,2,FALSE),"")</f>
        <v/>
      </c>
      <c r="C49" s="15" t="n"/>
      <c r="D49" s="20" t="n"/>
      <c r="E49" s="20" t="n"/>
      <c r="F49" s="15" t="n"/>
      <c r="G49" s="15" t="n"/>
      <c r="H49" s="17">
        <f>IF(E49="","",E49-TODAY())</f>
        <v/>
      </c>
      <c r="I49" s="17">
        <f>IF(E49="","",IF(E49&lt;TODAY(),"VENCIDO",IF(E49&lt;=TODAY()+7,"VENCE EM 7 DIAS",IF(E49&lt;=TODAY()+30,"VENCE EM 30 DIAS","OK"))))</f>
        <v/>
      </c>
      <c r="J49" s="17">
        <f>IF(A49="","",IF(G49&lt;=0,"SEM ESTOQUE",IF(E49&lt;TODAY(),"VENCIDO",IF(E49&lt;=TODAY()+30,"ATENÇÃO","OK"))))</f>
        <v/>
      </c>
      <c r="K49" s="15" t="n"/>
    </row>
    <row r="50">
      <c r="A50" s="15" t="n"/>
      <c r="B50" s="17">
        <f>IFERROR(VLOOKUP(A50,Produtos!$A$5:$M$204,2,FALSE),"")</f>
        <v/>
      </c>
      <c r="C50" s="15" t="n"/>
      <c r="D50" s="20" t="n"/>
      <c r="E50" s="20" t="n"/>
      <c r="F50" s="15" t="n"/>
      <c r="G50" s="15" t="n"/>
      <c r="H50" s="17">
        <f>IF(E50="","",E50-TODAY())</f>
        <v/>
      </c>
      <c r="I50" s="17">
        <f>IF(E50="","",IF(E50&lt;TODAY(),"VENCIDO",IF(E50&lt;=TODAY()+7,"VENCE EM 7 DIAS",IF(E50&lt;=TODAY()+30,"VENCE EM 30 DIAS","OK"))))</f>
        <v/>
      </c>
      <c r="J50" s="17">
        <f>IF(A50="","",IF(G50&lt;=0,"SEM ESTOQUE",IF(E50&lt;TODAY(),"VENCIDO",IF(E50&lt;=TODAY()+30,"ATENÇÃO","OK"))))</f>
        <v/>
      </c>
      <c r="K50" s="15" t="n"/>
    </row>
    <row r="51">
      <c r="A51" s="15" t="n"/>
      <c r="B51" s="17">
        <f>IFERROR(VLOOKUP(A51,Produtos!$A$5:$M$204,2,FALSE),"")</f>
        <v/>
      </c>
      <c r="C51" s="15" t="n"/>
      <c r="D51" s="20" t="n"/>
      <c r="E51" s="20" t="n"/>
      <c r="F51" s="15" t="n"/>
      <c r="G51" s="15" t="n"/>
      <c r="H51" s="17">
        <f>IF(E51="","",E51-TODAY())</f>
        <v/>
      </c>
      <c r="I51" s="17">
        <f>IF(E51="","",IF(E51&lt;TODAY(),"VENCIDO",IF(E51&lt;=TODAY()+7,"VENCE EM 7 DIAS",IF(E51&lt;=TODAY()+30,"VENCE EM 30 DIAS","OK"))))</f>
        <v/>
      </c>
      <c r="J51" s="17">
        <f>IF(A51="","",IF(G51&lt;=0,"SEM ESTOQUE",IF(E51&lt;TODAY(),"VENCIDO",IF(E51&lt;=TODAY()+30,"ATENÇÃO","OK"))))</f>
        <v/>
      </c>
      <c r="K51" s="15" t="n"/>
    </row>
    <row r="52">
      <c r="A52" s="15" t="n"/>
      <c r="B52" s="17">
        <f>IFERROR(VLOOKUP(A52,Produtos!$A$5:$M$204,2,FALSE),"")</f>
        <v/>
      </c>
      <c r="C52" s="15" t="n"/>
      <c r="D52" s="20" t="n"/>
      <c r="E52" s="20" t="n"/>
      <c r="F52" s="15" t="n"/>
      <c r="G52" s="15" t="n"/>
      <c r="H52" s="17">
        <f>IF(E52="","",E52-TODAY())</f>
        <v/>
      </c>
      <c r="I52" s="17">
        <f>IF(E52="","",IF(E52&lt;TODAY(),"VENCIDO",IF(E52&lt;=TODAY()+7,"VENCE EM 7 DIAS",IF(E52&lt;=TODAY()+30,"VENCE EM 30 DIAS","OK"))))</f>
        <v/>
      </c>
      <c r="J52" s="17">
        <f>IF(A52="","",IF(G52&lt;=0,"SEM ESTOQUE",IF(E52&lt;TODAY(),"VENCIDO",IF(E52&lt;=TODAY()+30,"ATENÇÃO","OK"))))</f>
        <v/>
      </c>
      <c r="K52" s="15" t="n"/>
    </row>
    <row r="53">
      <c r="A53" s="15" t="n"/>
      <c r="B53" s="17">
        <f>IFERROR(VLOOKUP(A53,Produtos!$A$5:$M$204,2,FALSE),"")</f>
        <v/>
      </c>
      <c r="C53" s="15" t="n"/>
      <c r="D53" s="20" t="n"/>
      <c r="E53" s="20" t="n"/>
      <c r="F53" s="15" t="n"/>
      <c r="G53" s="15" t="n"/>
      <c r="H53" s="17">
        <f>IF(E53="","",E53-TODAY())</f>
        <v/>
      </c>
      <c r="I53" s="17">
        <f>IF(E53="","",IF(E53&lt;TODAY(),"VENCIDO",IF(E53&lt;=TODAY()+7,"VENCE EM 7 DIAS",IF(E53&lt;=TODAY()+30,"VENCE EM 30 DIAS","OK"))))</f>
        <v/>
      </c>
      <c r="J53" s="17">
        <f>IF(A53="","",IF(G53&lt;=0,"SEM ESTOQUE",IF(E53&lt;TODAY(),"VENCIDO",IF(E53&lt;=TODAY()+30,"ATENÇÃO","OK"))))</f>
        <v/>
      </c>
      <c r="K53" s="15" t="n"/>
    </row>
    <row r="54">
      <c r="A54" s="15" t="n"/>
      <c r="B54" s="17">
        <f>IFERROR(VLOOKUP(A54,Produtos!$A$5:$M$204,2,FALSE),"")</f>
        <v/>
      </c>
      <c r="C54" s="15" t="n"/>
      <c r="D54" s="20" t="n"/>
      <c r="E54" s="20" t="n"/>
      <c r="F54" s="15" t="n"/>
      <c r="G54" s="15" t="n"/>
      <c r="H54" s="17">
        <f>IF(E54="","",E54-TODAY())</f>
        <v/>
      </c>
      <c r="I54" s="17">
        <f>IF(E54="","",IF(E54&lt;TODAY(),"VENCIDO",IF(E54&lt;=TODAY()+7,"VENCE EM 7 DIAS",IF(E54&lt;=TODAY()+30,"VENCE EM 30 DIAS","OK"))))</f>
        <v/>
      </c>
      <c r="J54" s="17">
        <f>IF(A54="","",IF(G54&lt;=0,"SEM ESTOQUE",IF(E54&lt;TODAY(),"VENCIDO",IF(E54&lt;=TODAY()+30,"ATENÇÃO","OK"))))</f>
        <v/>
      </c>
      <c r="K54" s="15" t="n"/>
    </row>
    <row r="55">
      <c r="A55" s="15" t="n"/>
      <c r="B55" s="17">
        <f>IFERROR(VLOOKUP(A55,Produtos!$A$5:$M$204,2,FALSE),"")</f>
        <v/>
      </c>
      <c r="C55" s="15" t="n"/>
      <c r="D55" s="20" t="n"/>
      <c r="E55" s="20" t="n"/>
      <c r="F55" s="15" t="n"/>
      <c r="G55" s="15" t="n"/>
      <c r="H55" s="17">
        <f>IF(E55="","",E55-TODAY())</f>
        <v/>
      </c>
      <c r="I55" s="17">
        <f>IF(E55="","",IF(E55&lt;TODAY(),"VENCIDO",IF(E55&lt;=TODAY()+7,"VENCE EM 7 DIAS",IF(E55&lt;=TODAY()+30,"VENCE EM 30 DIAS","OK"))))</f>
        <v/>
      </c>
      <c r="J55" s="17">
        <f>IF(A55="","",IF(G55&lt;=0,"SEM ESTOQUE",IF(E55&lt;TODAY(),"VENCIDO",IF(E55&lt;=TODAY()+30,"ATENÇÃO","OK"))))</f>
        <v/>
      </c>
      <c r="K55" s="15" t="n"/>
    </row>
    <row r="56">
      <c r="A56" s="15" t="n"/>
      <c r="B56" s="17">
        <f>IFERROR(VLOOKUP(A56,Produtos!$A$5:$M$204,2,FALSE),"")</f>
        <v/>
      </c>
      <c r="C56" s="15" t="n"/>
      <c r="D56" s="20" t="n"/>
      <c r="E56" s="20" t="n"/>
      <c r="F56" s="15" t="n"/>
      <c r="G56" s="15" t="n"/>
      <c r="H56" s="17">
        <f>IF(E56="","",E56-TODAY())</f>
        <v/>
      </c>
      <c r="I56" s="17">
        <f>IF(E56="","",IF(E56&lt;TODAY(),"VENCIDO",IF(E56&lt;=TODAY()+7,"VENCE EM 7 DIAS",IF(E56&lt;=TODAY()+30,"VENCE EM 30 DIAS","OK"))))</f>
        <v/>
      </c>
      <c r="J56" s="17">
        <f>IF(A56="","",IF(G56&lt;=0,"SEM ESTOQUE",IF(E56&lt;TODAY(),"VENCIDO",IF(E56&lt;=TODAY()+30,"ATENÇÃO","OK"))))</f>
        <v/>
      </c>
      <c r="K56" s="15" t="n"/>
    </row>
    <row r="57">
      <c r="A57" s="15" t="n"/>
      <c r="B57" s="17">
        <f>IFERROR(VLOOKUP(A57,Produtos!$A$5:$M$204,2,FALSE),"")</f>
        <v/>
      </c>
      <c r="C57" s="15" t="n"/>
      <c r="D57" s="20" t="n"/>
      <c r="E57" s="20" t="n"/>
      <c r="F57" s="15" t="n"/>
      <c r="G57" s="15" t="n"/>
      <c r="H57" s="17">
        <f>IF(E57="","",E57-TODAY())</f>
        <v/>
      </c>
      <c r="I57" s="17">
        <f>IF(E57="","",IF(E57&lt;TODAY(),"VENCIDO",IF(E57&lt;=TODAY()+7,"VENCE EM 7 DIAS",IF(E57&lt;=TODAY()+30,"VENCE EM 30 DIAS","OK"))))</f>
        <v/>
      </c>
      <c r="J57" s="17">
        <f>IF(A57="","",IF(G57&lt;=0,"SEM ESTOQUE",IF(E57&lt;TODAY(),"VENCIDO",IF(E57&lt;=TODAY()+30,"ATENÇÃO","OK"))))</f>
        <v/>
      </c>
      <c r="K57" s="15" t="n"/>
    </row>
    <row r="58">
      <c r="A58" s="15" t="n"/>
      <c r="B58" s="17">
        <f>IFERROR(VLOOKUP(A58,Produtos!$A$5:$M$204,2,FALSE),"")</f>
        <v/>
      </c>
      <c r="C58" s="15" t="n"/>
      <c r="D58" s="20" t="n"/>
      <c r="E58" s="20" t="n"/>
      <c r="F58" s="15" t="n"/>
      <c r="G58" s="15" t="n"/>
      <c r="H58" s="17">
        <f>IF(E58="","",E58-TODAY())</f>
        <v/>
      </c>
      <c r="I58" s="17">
        <f>IF(E58="","",IF(E58&lt;TODAY(),"VENCIDO",IF(E58&lt;=TODAY()+7,"VENCE EM 7 DIAS",IF(E58&lt;=TODAY()+30,"VENCE EM 30 DIAS","OK"))))</f>
        <v/>
      </c>
      <c r="J58" s="17">
        <f>IF(A58="","",IF(G58&lt;=0,"SEM ESTOQUE",IF(E58&lt;TODAY(),"VENCIDO",IF(E58&lt;=TODAY()+30,"ATENÇÃO","OK"))))</f>
        <v/>
      </c>
      <c r="K58" s="15" t="n"/>
    </row>
    <row r="59">
      <c r="A59" s="15" t="n"/>
      <c r="B59" s="17">
        <f>IFERROR(VLOOKUP(A59,Produtos!$A$5:$M$204,2,FALSE),"")</f>
        <v/>
      </c>
      <c r="C59" s="15" t="n"/>
      <c r="D59" s="20" t="n"/>
      <c r="E59" s="20" t="n"/>
      <c r="F59" s="15" t="n"/>
      <c r="G59" s="15" t="n"/>
      <c r="H59" s="17">
        <f>IF(E59="","",E59-TODAY())</f>
        <v/>
      </c>
      <c r="I59" s="17">
        <f>IF(E59="","",IF(E59&lt;TODAY(),"VENCIDO",IF(E59&lt;=TODAY()+7,"VENCE EM 7 DIAS",IF(E59&lt;=TODAY()+30,"VENCE EM 30 DIAS","OK"))))</f>
        <v/>
      </c>
      <c r="J59" s="17">
        <f>IF(A59="","",IF(G59&lt;=0,"SEM ESTOQUE",IF(E59&lt;TODAY(),"VENCIDO",IF(E59&lt;=TODAY()+30,"ATENÇÃO","OK"))))</f>
        <v/>
      </c>
      <c r="K59" s="15" t="n"/>
    </row>
    <row r="60">
      <c r="A60" s="15" t="n"/>
      <c r="B60" s="17">
        <f>IFERROR(VLOOKUP(A60,Produtos!$A$5:$M$204,2,FALSE),"")</f>
        <v/>
      </c>
      <c r="C60" s="15" t="n"/>
      <c r="D60" s="20" t="n"/>
      <c r="E60" s="20" t="n"/>
      <c r="F60" s="15" t="n"/>
      <c r="G60" s="15" t="n"/>
      <c r="H60" s="17">
        <f>IF(E60="","",E60-TODAY())</f>
        <v/>
      </c>
      <c r="I60" s="17">
        <f>IF(E60="","",IF(E60&lt;TODAY(),"VENCIDO",IF(E60&lt;=TODAY()+7,"VENCE EM 7 DIAS",IF(E60&lt;=TODAY()+30,"VENCE EM 30 DIAS","OK"))))</f>
        <v/>
      </c>
      <c r="J60" s="17">
        <f>IF(A60="","",IF(G60&lt;=0,"SEM ESTOQUE",IF(E60&lt;TODAY(),"VENCIDO",IF(E60&lt;=TODAY()+30,"ATENÇÃO","OK"))))</f>
        <v/>
      </c>
      <c r="K60" s="15" t="n"/>
    </row>
    <row r="61">
      <c r="A61" s="15" t="n"/>
      <c r="B61" s="17">
        <f>IFERROR(VLOOKUP(A61,Produtos!$A$5:$M$204,2,FALSE),"")</f>
        <v/>
      </c>
      <c r="C61" s="15" t="n"/>
      <c r="D61" s="20" t="n"/>
      <c r="E61" s="20" t="n"/>
      <c r="F61" s="15" t="n"/>
      <c r="G61" s="15" t="n"/>
      <c r="H61" s="17">
        <f>IF(E61="","",E61-TODAY())</f>
        <v/>
      </c>
      <c r="I61" s="17">
        <f>IF(E61="","",IF(E61&lt;TODAY(),"VENCIDO",IF(E61&lt;=TODAY()+7,"VENCE EM 7 DIAS",IF(E61&lt;=TODAY()+30,"VENCE EM 30 DIAS","OK"))))</f>
        <v/>
      </c>
      <c r="J61" s="17">
        <f>IF(A61="","",IF(G61&lt;=0,"SEM ESTOQUE",IF(E61&lt;TODAY(),"VENCIDO",IF(E61&lt;=TODAY()+30,"ATENÇÃO","OK"))))</f>
        <v/>
      </c>
      <c r="K61" s="15" t="n"/>
    </row>
    <row r="62">
      <c r="A62" s="15" t="n"/>
      <c r="B62" s="17">
        <f>IFERROR(VLOOKUP(A62,Produtos!$A$5:$M$204,2,FALSE),"")</f>
        <v/>
      </c>
      <c r="C62" s="15" t="n"/>
      <c r="D62" s="20" t="n"/>
      <c r="E62" s="20" t="n"/>
      <c r="F62" s="15" t="n"/>
      <c r="G62" s="15" t="n"/>
      <c r="H62" s="17">
        <f>IF(E62="","",E62-TODAY())</f>
        <v/>
      </c>
      <c r="I62" s="17">
        <f>IF(E62="","",IF(E62&lt;TODAY(),"VENCIDO",IF(E62&lt;=TODAY()+7,"VENCE EM 7 DIAS",IF(E62&lt;=TODAY()+30,"VENCE EM 30 DIAS","OK"))))</f>
        <v/>
      </c>
      <c r="J62" s="17">
        <f>IF(A62="","",IF(G62&lt;=0,"SEM ESTOQUE",IF(E62&lt;TODAY(),"VENCIDO",IF(E62&lt;=TODAY()+30,"ATENÇÃO","OK"))))</f>
        <v/>
      </c>
      <c r="K62" s="15" t="n"/>
    </row>
    <row r="63">
      <c r="A63" s="15" t="n"/>
      <c r="B63" s="17">
        <f>IFERROR(VLOOKUP(A63,Produtos!$A$5:$M$204,2,FALSE),"")</f>
        <v/>
      </c>
      <c r="C63" s="15" t="n"/>
      <c r="D63" s="20" t="n"/>
      <c r="E63" s="20" t="n"/>
      <c r="F63" s="15" t="n"/>
      <c r="G63" s="15" t="n"/>
      <c r="H63" s="17">
        <f>IF(E63="","",E63-TODAY())</f>
        <v/>
      </c>
      <c r="I63" s="17">
        <f>IF(E63="","",IF(E63&lt;TODAY(),"VENCIDO",IF(E63&lt;=TODAY()+7,"VENCE EM 7 DIAS",IF(E63&lt;=TODAY()+30,"VENCE EM 30 DIAS","OK"))))</f>
        <v/>
      </c>
      <c r="J63" s="17">
        <f>IF(A63="","",IF(G63&lt;=0,"SEM ESTOQUE",IF(E63&lt;TODAY(),"VENCIDO",IF(E63&lt;=TODAY()+30,"ATENÇÃO","OK"))))</f>
        <v/>
      </c>
      <c r="K63" s="15" t="n"/>
    </row>
    <row r="64">
      <c r="A64" s="15" t="n"/>
      <c r="B64" s="17">
        <f>IFERROR(VLOOKUP(A64,Produtos!$A$5:$M$204,2,FALSE),"")</f>
        <v/>
      </c>
      <c r="C64" s="15" t="n"/>
      <c r="D64" s="20" t="n"/>
      <c r="E64" s="20" t="n"/>
      <c r="F64" s="15" t="n"/>
      <c r="G64" s="15" t="n"/>
      <c r="H64" s="17">
        <f>IF(E64="","",E64-TODAY())</f>
        <v/>
      </c>
      <c r="I64" s="17">
        <f>IF(E64="","",IF(E64&lt;TODAY(),"VENCIDO",IF(E64&lt;=TODAY()+7,"VENCE EM 7 DIAS",IF(E64&lt;=TODAY()+30,"VENCE EM 30 DIAS","OK"))))</f>
        <v/>
      </c>
      <c r="J64" s="17">
        <f>IF(A64="","",IF(G64&lt;=0,"SEM ESTOQUE",IF(E64&lt;TODAY(),"VENCIDO",IF(E64&lt;=TODAY()+30,"ATENÇÃO","OK"))))</f>
        <v/>
      </c>
      <c r="K64" s="15" t="n"/>
    </row>
    <row r="65">
      <c r="A65" s="15" t="n"/>
      <c r="B65" s="17">
        <f>IFERROR(VLOOKUP(A65,Produtos!$A$5:$M$204,2,FALSE),"")</f>
        <v/>
      </c>
      <c r="C65" s="15" t="n"/>
      <c r="D65" s="20" t="n"/>
      <c r="E65" s="20" t="n"/>
      <c r="F65" s="15" t="n"/>
      <c r="G65" s="15" t="n"/>
      <c r="H65" s="17">
        <f>IF(E65="","",E65-TODAY())</f>
        <v/>
      </c>
      <c r="I65" s="17">
        <f>IF(E65="","",IF(E65&lt;TODAY(),"VENCIDO",IF(E65&lt;=TODAY()+7,"VENCE EM 7 DIAS",IF(E65&lt;=TODAY()+30,"VENCE EM 30 DIAS","OK"))))</f>
        <v/>
      </c>
      <c r="J65" s="17">
        <f>IF(A65="","",IF(G65&lt;=0,"SEM ESTOQUE",IF(E65&lt;TODAY(),"VENCIDO",IF(E65&lt;=TODAY()+30,"ATENÇÃO","OK"))))</f>
        <v/>
      </c>
      <c r="K65" s="15" t="n"/>
    </row>
    <row r="66">
      <c r="A66" s="15" t="n"/>
      <c r="B66" s="17">
        <f>IFERROR(VLOOKUP(A66,Produtos!$A$5:$M$204,2,FALSE),"")</f>
        <v/>
      </c>
      <c r="C66" s="15" t="n"/>
      <c r="D66" s="20" t="n"/>
      <c r="E66" s="20" t="n"/>
      <c r="F66" s="15" t="n"/>
      <c r="G66" s="15" t="n"/>
      <c r="H66" s="17">
        <f>IF(E66="","",E66-TODAY())</f>
        <v/>
      </c>
      <c r="I66" s="17">
        <f>IF(E66="","",IF(E66&lt;TODAY(),"VENCIDO",IF(E66&lt;=TODAY()+7,"VENCE EM 7 DIAS",IF(E66&lt;=TODAY()+30,"VENCE EM 30 DIAS","OK"))))</f>
        <v/>
      </c>
      <c r="J66" s="17">
        <f>IF(A66="","",IF(G66&lt;=0,"SEM ESTOQUE",IF(E66&lt;TODAY(),"VENCIDO",IF(E66&lt;=TODAY()+30,"ATENÇÃO","OK"))))</f>
        <v/>
      </c>
      <c r="K66" s="15" t="n"/>
    </row>
    <row r="67">
      <c r="A67" s="15" t="n"/>
      <c r="B67" s="17">
        <f>IFERROR(VLOOKUP(A67,Produtos!$A$5:$M$204,2,FALSE),"")</f>
        <v/>
      </c>
      <c r="C67" s="15" t="n"/>
      <c r="D67" s="20" t="n"/>
      <c r="E67" s="20" t="n"/>
      <c r="F67" s="15" t="n"/>
      <c r="G67" s="15" t="n"/>
      <c r="H67" s="17">
        <f>IF(E67="","",E67-TODAY())</f>
        <v/>
      </c>
      <c r="I67" s="17">
        <f>IF(E67="","",IF(E67&lt;TODAY(),"VENCIDO",IF(E67&lt;=TODAY()+7,"VENCE EM 7 DIAS",IF(E67&lt;=TODAY()+30,"VENCE EM 30 DIAS","OK"))))</f>
        <v/>
      </c>
      <c r="J67" s="17">
        <f>IF(A67="","",IF(G67&lt;=0,"SEM ESTOQUE",IF(E67&lt;TODAY(),"VENCIDO",IF(E67&lt;=TODAY()+30,"ATENÇÃO","OK"))))</f>
        <v/>
      </c>
      <c r="K67" s="15" t="n"/>
    </row>
    <row r="68">
      <c r="A68" s="15" t="n"/>
      <c r="B68" s="17">
        <f>IFERROR(VLOOKUP(A68,Produtos!$A$5:$M$204,2,FALSE),"")</f>
        <v/>
      </c>
      <c r="C68" s="15" t="n"/>
      <c r="D68" s="20" t="n"/>
      <c r="E68" s="20" t="n"/>
      <c r="F68" s="15" t="n"/>
      <c r="G68" s="15" t="n"/>
      <c r="H68" s="17">
        <f>IF(E68="","",E68-TODAY())</f>
        <v/>
      </c>
      <c r="I68" s="17">
        <f>IF(E68="","",IF(E68&lt;TODAY(),"VENCIDO",IF(E68&lt;=TODAY()+7,"VENCE EM 7 DIAS",IF(E68&lt;=TODAY()+30,"VENCE EM 30 DIAS","OK"))))</f>
        <v/>
      </c>
      <c r="J68" s="17">
        <f>IF(A68="","",IF(G68&lt;=0,"SEM ESTOQUE",IF(E68&lt;TODAY(),"VENCIDO",IF(E68&lt;=TODAY()+30,"ATENÇÃO","OK"))))</f>
        <v/>
      </c>
      <c r="K68" s="15" t="n"/>
    </row>
    <row r="69">
      <c r="A69" s="15" t="n"/>
      <c r="B69" s="17">
        <f>IFERROR(VLOOKUP(A69,Produtos!$A$5:$M$204,2,FALSE),"")</f>
        <v/>
      </c>
      <c r="C69" s="15" t="n"/>
      <c r="D69" s="20" t="n"/>
      <c r="E69" s="20" t="n"/>
      <c r="F69" s="15" t="n"/>
      <c r="G69" s="15" t="n"/>
      <c r="H69" s="17">
        <f>IF(E69="","",E69-TODAY())</f>
        <v/>
      </c>
      <c r="I69" s="17">
        <f>IF(E69="","",IF(E69&lt;TODAY(),"VENCIDO",IF(E69&lt;=TODAY()+7,"VENCE EM 7 DIAS",IF(E69&lt;=TODAY()+30,"VENCE EM 30 DIAS","OK"))))</f>
        <v/>
      </c>
      <c r="J69" s="17">
        <f>IF(A69="","",IF(G69&lt;=0,"SEM ESTOQUE",IF(E69&lt;TODAY(),"VENCIDO",IF(E69&lt;=TODAY()+30,"ATENÇÃO","OK"))))</f>
        <v/>
      </c>
      <c r="K69" s="15" t="n"/>
    </row>
    <row r="70">
      <c r="A70" s="15" t="n"/>
      <c r="B70" s="17">
        <f>IFERROR(VLOOKUP(A70,Produtos!$A$5:$M$204,2,FALSE),"")</f>
        <v/>
      </c>
      <c r="C70" s="15" t="n"/>
      <c r="D70" s="20" t="n"/>
      <c r="E70" s="20" t="n"/>
      <c r="F70" s="15" t="n"/>
      <c r="G70" s="15" t="n"/>
      <c r="H70" s="17">
        <f>IF(E70="","",E70-TODAY())</f>
        <v/>
      </c>
      <c r="I70" s="17">
        <f>IF(E70="","",IF(E70&lt;TODAY(),"VENCIDO",IF(E70&lt;=TODAY()+7,"VENCE EM 7 DIAS",IF(E70&lt;=TODAY()+30,"VENCE EM 30 DIAS","OK"))))</f>
        <v/>
      </c>
      <c r="J70" s="17">
        <f>IF(A70="","",IF(G70&lt;=0,"SEM ESTOQUE",IF(E70&lt;TODAY(),"VENCIDO",IF(E70&lt;=TODAY()+30,"ATENÇÃO","OK"))))</f>
        <v/>
      </c>
      <c r="K70" s="15" t="n"/>
    </row>
    <row r="71">
      <c r="A71" s="15" t="n"/>
      <c r="B71" s="17">
        <f>IFERROR(VLOOKUP(A71,Produtos!$A$5:$M$204,2,FALSE),"")</f>
        <v/>
      </c>
      <c r="C71" s="15" t="n"/>
      <c r="D71" s="20" t="n"/>
      <c r="E71" s="20" t="n"/>
      <c r="F71" s="15" t="n"/>
      <c r="G71" s="15" t="n"/>
      <c r="H71" s="17">
        <f>IF(E71="","",E71-TODAY())</f>
        <v/>
      </c>
      <c r="I71" s="17">
        <f>IF(E71="","",IF(E71&lt;TODAY(),"VENCIDO",IF(E71&lt;=TODAY()+7,"VENCE EM 7 DIAS",IF(E71&lt;=TODAY()+30,"VENCE EM 30 DIAS","OK"))))</f>
        <v/>
      </c>
      <c r="J71" s="17">
        <f>IF(A71="","",IF(G71&lt;=0,"SEM ESTOQUE",IF(E71&lt;TODAY(),"VENCIDO",IF(E71&lt;=TODAY()+30,"ATENÇÃO","OK"))))</f>
        <v/>
      </c>
      <c r="K71" s="15" t="n"/>
    </row>
    <row r="72">
      <c r="A72" s="15" t="n"/>
      <c r="B72" s="17">
        <f>IFERROR(VLOOKUP(A72,Produtos!$A$5:$M$204,2,FALSE),"")</f>
        <v/>
      </c>
      <c r="C72" s="15" t="n"/>
      <c r="D72" s="20" t="n"/>
      <c r="E72" s="20" t="n"/>
      <c r="F72" s="15" t="n"/>
      <c r="G72" s="15" t="n"/>
      <c r="H72" s="17">
        <f>IF(E72="","",E72-TODAY())</f>
        <v/>
      </c>
      <c r="I72" s="17">
        <f>IF(E72="","",IF(E72&lt;TODAY(),"VENCIDO",IF(E72&lt;=TODAY()+7,"VENCE EM 7 DIAS",IF(E72&lt;=TODAY()+30,"VENCE EM 30 DIAS","OK"))))</f>
        <v/>
      </c>
      <c r="J72" s="17">
        <f>IF(A72="","",IF(G72&lt;=0,"SEM ESTOQUE",IF(E72&lt;TODAY(),"VENCIDO",IF(E72&lt;=TODAY()+30,"ATENÇÃO","OK"))))</f>
        <v/>
      </c>
      <c r="K72" s="15" t="n"/>
    </row>
    <row r="73">
      <c r="A73" s="15" t="n"/>
      <c r="B73" s="17">
        <f>IFERROR(VLOOKUP(A73,Produtos!$A$5:$M$204,2,FALSE),"")</f>
        <v/>
      </c>
      <c r="C73" s="15" t="n"/>
      <c r="D73" s="20" t="n"/>
      <c r="E73" s="20" t="n"/>
      <c r="F73" s="15" t="n"/>
      <c r="G73" s="15" t="n"/>
      <c r="H73" s="17">
        <f>IF(E73="","",E73-TODAY())</f>
        <v/>
      </c>
      <c r="I73" s="17">
        <f>IF(E73="","",IF(E73&lt;TODAY(),"VENCIDO",IF(E73&lt;=TODAY()+7,"VENCE EM 7 DIAS",IF(E73&lt;=TODAY()+30,"VENCE EM 30 DIAS","OK"))))</f>
        <v/>
      </c>
      <c r="J73" s="17">
        <f>IF(A73="","",IF(G73&lt;=0,"SEM ESTOQUE",IF(E73&lt;TODAY(),"VENCIDO",IF(E73&lt;=TODAY()+30,"ATENÇÃO","OK"))))</f>
        <v/>
      </c>
      <c r="K73" s="15" t="n"/>
    </row>
    <row r="74">
      <c r="A74" s="15" t="n"/>
      <c r="B74" s="17">
        <f>IFERROR(VLOOKUP(A74,Produtos!$A$5:$M$204,2,FALSE),"")</f>
        <v/>
      </c>
      <c r="C74" s="15" t="n"/>
      <c r="D74" s="20" t="n"/>
      <c r="E74" s="20" t="n"/>
      <c r="F74" s="15" t="n"/>
      <c r="G74" s="15" t="n"/>
      <c r="H74" s="17">
        <f>IF(E74="","",E74-TODAY())</f>
        <v/>
      </c>
      <c r="I74" s="17">
        <f>IF(E74="","",IF(E74&lt;TODAY(),"VENCIDO",IF(E74&lt;=TODAY()+7,"VENCE EM 7 DIAS",IF(E74&lt;=TODAY()+30,"VENCE EM 30 DIAS","OK"))))</f>
        <v/>
      </c>
      <c r="J74" s="17">
        <f>IF(A74="","",IF(G74&lt;=0,"SEM ESTOQUE",IF(E74&lt;TODAY(),"VENCIDO",IF(E74&lt;=TODAY()+30,"ATENÇÃO","OK"))))</f>
        <v/>
      </c>
      <c r="K74" s="15" t="n"/>
    </row>
    <row r="75">
      <c r="A75" s="15" t="n"/>
      <c r="B75" s="17">
        <f>IFERROR(VLOOKUP(A75,Produtos!$A$5:$M$204,2,FALSE),"")</f>
        <v/>
      </c>
      <c r="C75" s="15" t="n"/>
      <c r="D75" s="20" t="n"/>
      <c r="E75" s="20" t="n"/>
      <c r="F75" s="15" t="n"/>
      <c r="G75" s="15" t="n"/>
      <c r="H75" s="17">
        <f>IF(E75="","",E75-TODAY())</f>
        <v/>
      </c>
      <c r="I75" s="17">
        <f>IF(E75="","",IF(E75&lt;TODAY(),"VENCIDO",IF(E75&lt;=TODAY()+7,"VENCE EM 7 DIAS",IF(E75&lt;=TODAY()+30,"VENCE EM 30 DIAS","OK"))))</f>
        <v/>
      </c>
      <c r="J75" s="17">
        <f>IF(A75="","",IF(G75&lt;=0,"SEM ESTOQUE",IF(E75&lt;TODAY(),"VENCIDO",IF(E75&lt;=TODAY()+30,"ATENÇÃO","OK"))))</f>
        <v/>
      </c>
      <c r="K75" s="15" t="n"/>
    </row>
    <row r="76">
      <c r="A76" s="15" t="n"/>
      <c r="B76" s="17">
        <f>IFERROR(VLOOKUP(A76,Produtos!$A$5:$M$204,2,FALSE),"")</f>
        <v/>
      </c>
      <c r="C76" s="15" t="n"/>
      <c r="D76" s="20" t="n"/>
      <c r="E76" s="20" t="n"/>
      <c r="F76" s="15" t="n"/>
      <c r="G76" s="15" t="n"/>
      <c r="H76" s="17">
        <f>IF(E76="","",E76-TODAY())</f>
        <v/>
      </c>
      <c r="I76" s="17">
        <f>IF(E76="","",IF(E76&lt;TODAY(),"VENCIDO",IF(E76&lt;=TODAY()+7,"VENCE EM 7 DIAS",IF(E76&lt;=TODAY()+30,"VENCE EM 30 DIAS","OK"))))</f>
        <v/>
      </c>
      <c r="J76" s="17">
        <f>IF(A76="","",IF(G76&lt;=0,"SEM ESTOQUE",IF(E76&lt;TODAY(),"VENCIDO",IF(E76&lt;=TODAY()+30,"ATENÇÃO","OK"))))</f>
        <v/>
      </c>
      <c r="K76" s="15" t="n"/>
    </row>
    <row r="77">
      <c r="A77" s="15" t="n"/>
      <c r="B77" s="17">
        <f>IFERROR(VLOOKUP(A77,Produtos!$A$5:$M$204,2,FALSE),"")</f>
        <v/>
      </c>
      <c r="C77" s="15" t="n"/>
      <c r="D77" s="20" t="n"/>
      <c r="E77" s="20" t="n"/>
      <c r="F77" s="15" t="n"/>
      <c r="G77" s="15" t="n"/>
      <c r="H77" s="17">
        <f>IF(E77="","",E77-TODAY())</f>
        <v/>
      </c>
      <c r="I77" s="17">
        <f>IF(E77="","",IF(E77&lt;TODAY(),"VENCIDO",IF(E77&lt;=TODAY()+7,"VENCE EM 7 DIAS",IF(E77&lt;=TODAY()+30,"VENCE EM 30 DIAS","OK"))))</f>
        <v/>
      </c>
      <c r="J77" s="17">
        <f>IF(A77="","",IF(G77&lt;=0,"SEM ESTOQUE",IF(E77&lt;TODAY(),"VENCIDO",IF(E77&lt;=TODAY()+30,"ATENÇÃO","OK"))))</f>
        <v/>
      </c>
      <c r="K77" s="15" t="n"/>
    </row>
    <row r="78">
      <c r="A78" s="15" t="n"/>
      <c r="B78" s="17">
        <f>IFERROR(VLOOKUP(A78,Produtos!$A$5:$M$204,2,FALSE),"")</f>
        <v/>
      </c>
      <c r="C78" s="15" t="n"/>
      <c r="D78" s="20" t="n"/>
      <c r="E78" s="20" t="n"/>
      <c r="F78" s="15" t="n"/>
      <c r="G78" s="15" t="n"/>
      <c r="H78" s="17">
        <f>IF(E78="","",E78-TODAY())</f>
        <v/>
      </c>
      <c r="I78" s="17">
        <f>IF(E78="","",IF(E78&lt;TODAY(),"VENCIDO",IF(E78&lt;=TODAY()+7,"VENCE EM 7 DIAS",IF(E78&lt;=TODAY()+30,"VENCE EM 30 DIAS","OK"))))</f>
        <v/>
      </c>
      <c r="J78" s="17">
        <f>IF(A78="","",IF(G78&lt;=0,"SEM ESTOQUE",IF(E78&lt;TODAY(),"VENCIDO",IF(E78&lt;=TODAY()+30,"ATENÇÃO","OK"))))</f>
        <v/>
      </c>
      <c r="K78" s="15" t="n"/>
    </row>
    <row r="79">
      <c r="A79" s="15" t="n"/>
      <c r="B79" s="17">
        <f>IFERROR(VLOOKUP(A79,Produtos!$A$5:$M$204,2,FALSE),"")</f>
        <v/>
      </c>
      <c r="C79" s="15" t="n"/>
      <c r="D79" s="20" t="n"/>
      <c r="E79" s="20" t="n"/>
      <c r="F79" s="15" t="n"/>
      <c r="G79" s="15" t="n"/>
      <c r="H79" s="17">
        <f>IF(E79="","",E79-TODAY())</f>
        <v/>
      </c>
      <c r="I79" s="17">
        <f>IF(E79="","",IF(E79&lt;TODAY(),"VENCIDO",IF(E79&lt;=TODAY()+7,"VENCE EM 7 DIAS",IF(E79&lt;=TODAY()+30,"VENCE EM 30 DIAS","OK"))))</f>
        <v/>
      </c>
      <c r="J79" s="17">
        <f>IF(A79="","",IF(G79&lt;=0,"SEM ESTOQUE",IF(E79&lt;TODAY(),"VENCIDO",IF(E79&lt;=TODAY()+30,"ATENÇÃO","OK"))))</f>
        <v/>
      </c>
      <c r="K79" s="15" t="n"/>
    </row>
    <row r="80">
      <c r="A80" s="15" t="n"/>
      <c r="B80" s="17">
        <f>IFERROR(VLOOKUP(A80,Produtos!$A$5:$M$204,2,FALSE),"")</f>
        <v/>
      </c>
      <c r="C80" s="15" t="n"/>
      <c r="D80" s="20" t="n"/>
      <c r="E80" s="20" t="n"/>
      <c r="F80" s="15" t="n"/>
      <c r="G80" s="15" t="n"/>
      <c r="H80" s="17">
        <f>IF(E80="","",E80-TODAY())</f>
        <v/>
      </c>
      <c r="I80" s="17">
        <f>IF(E80="","",IF(E80&lt;TODAY(),"VENCIDO",IF(E80&lt;=TODAY()+7,"VENCE EM 7 DIAS",IF(E80&lt;=TODAY()+30,"VENCE EM 30 DIAS","OK"))))</f>
        <v/>
      </c>
      <c r="J80" s="17">
        <f>IF(A80="","",IF(G80&lt;=0,"SEM ESTOQUE",IF(E80&lt;TODAY(),"VENCIDO",IF(E80&lt;=TODAY()+30,"ATENÇÃO","OK"))))</f>
        <v/>
      </c>
      <c r="K80" s="15" t="n"/>
    </row>
    <row r="81">
      <c r="A81" s="15" t="n"/>
      <c r="B81" s="17">
        <f>IFERROR(VLOOKUP(A81,Produtos!$A$5:$M$204,2,FALSE),"")</f>
        <v/>
      </c>
      <c r="C81" s="15" t="n"/>
      <c r="D81" s="20" t="n"/>
      <c r="E81" s="20" t="n"/>
      <c r="F81" s="15" t="n"/>
      <c r="G81" s="15" t="n"/>
      <c r="H81" s="17">
        <f>IF(E81="","",E81-TODAY())</f>
        <v/>
      </c>
      <c r="I81" s="17">
        <f>IF(E81="","",IF(E81&lt;TODAY(),"VENCIDO",IF(E81&lt;=TODAY()+7,"VENCE EM 7 DIAS",IF(E81&lt;=TODAY()+30,"VENCE EM 30 DIAS","OK"))))</f>
        <v/>
      </c>
      <c r="J81" s="17">
        <f>IF(A81="","",IF(G81&lt;=0,"SEM ESTOQUE",IF(E81&lt;TODAY(),"VENCIDO",IF(E81&lt;=TODAY()+30,"ATENÇÃO","OK"))))</f>
        <v/>
      </c>
      <c r="K81" s="15" t="n"/>
    </row>
    <row r="82">
      <c r="A82" s="15" t="n"/>
      <c r="B82" s="17">
        <f>IFERROR(VLOOKUP(A82,Produtos!$A$5:$M$204,2,FALSE),"")</f>
        <v/>
      </c>
      <c r="C82" s="15" t="n"/>
      <c r="D82" s="20" t="n"/>
      <c r="E82" s="20" t="n"/>
      <c r="F82" s="15" t="n"/>
      <c r="G82" s="15" t="n"/>
      <c r="H82" s="17">
        <f>IF(E82="","",E82-TODAY())</f>
        <v/>
      </c>
      <c r="I82" s="17">
        <f>IF(E82="","",IF(E82&lt;TODAY(),"VENCIDO",IF(E82&lt;=TODAY()+7,"VENCE EM 7 DIAS",IF(E82&lt;=TODAY()+30,"VENCE EM 30 DIAS","OK"))))</f>
        <v/>
      </c>
      <c r="J82" s="17">
        <f>IF(A82="","",IF(G82&lt;=0,"SEM ESTOQUE",IF(E82&lt;TODAY(),"VENCIDO",IF(E82&lt;=TODAY()+30,"ATENÇÃO","OK"))))</f>
        <v/>
      </c>
      <c r="K82" s="15" t="n"/>
    </row>
    <row r="83">
      <c r="A83" s="15" t="n"/>
      <c r="B83" s="17">
        <f>IFERROR(VLOOKUP(A83,Produtos!$A$5:$M$204,2,FALSE),"")</f>
        <v/>
      </c>
      <c r="C83" s="15" t="n"/>
      <c r="D83" s="20" t="n"/>
      <c r="E83" s="20" t="n"/>
      <c r="F83" s="15" t="n"/>
      <c r="G83" s="15" t="n"/>
      <c r="H83" s="17">
        <f>IF(E83="","",E83-TODAY())</f>
        <v/>
      </c>
      <c r="I83" s="17">
        <f>IF(E83="","",IF(E83&lt;TODAY(),"VENCIDO",IF(E83&lt;=TODAY()+7,"VENCE EM 7 DIAS",IF(E83&lt;=TODAY()+30,"VENCE EM 30 DIAS","OK"))))</f>
        <v/>
      </c>
      <c r="J83" s="17">
        <f>IF(A83="","",IF(G83&lt;=0,"SEM ESTOQUE",IF(E83&lt;TODAY(),"VENCIDO",IF(E83&lt;=TODAY()+30,"ATENÇÃO","OK"))))</f>
        <v/>
      </c>
      <c r="K83" s="15" t="n"/>
    </row>
    <row r="84">
      <c r="A84" s="15" t="n"/>
      <c r="B84" s="17">
        <f>IFERROR(VLOOKUP(A84,Produtos!$A$5:$M$204,2,FALSE),"")</f>
        <v/>
      </c>
      <c r="C84" s="15" t="n"/>
      <c r="D84" s="20" t="n"/>
      <c r="E84" s="20" t="n"/>
      <c r="F84" s="15" t="n"/>
      <c r="G84" s="15" t="n"/>
      <c r="H84" s="17">
        <f>IF(E84="","",E84-TODAY())</f>
        <v/>
      </c>
      <c r="I84" s="17">
        <f>IF(E84="","",IF(E84&lt;TODAY(),"VENCIDO",IF(E84&lt;=TODAY()+7,"VENCE EM 7 DIAS",IF(E84&lt;=TODAY()+30,"VENCE EM 30 DIAS","OK"))))</f>
        <v/>
      </c>
      <c r="J84" s="17">
        <f>IF(A84="","",IF(G84&lt;=0,"SEM ESTOQUE",IF(E84&lt;TODAY(),"VENCIDO",IF(E84&lt;=TODAY()+30,"ATENÇÃO","OK"))))</f>
        <v/>
      </c>
      <c r="K84" s="15" t="n"/>
    </row>
    <row r="85">
      <c r="A85" s="15" t="n"/>
      <c r="B85" s="17">
        <f>IFERROR(VLOOKUP(A85,Produtos!$A$5:$M$204,2,FALSE),"")</f>
        <v/>
      </c>
      <c r="C85" s="15" t="n"/>
      <c r="D85" s="20" t="n"/>
      <c r="E85" s="20" t="n"/>
      <c r="F85" s="15" t="n"/>
      <c r="G85" s="15" t="n"/>
      <c r="H85" s="17">
        <f>IF(E85="","",E85-TODAY())</f>
        <v/>
      </c>
      <c r="I85" s="17">
        <f>IF(E85="","",IF(E85&lt;TODAY(),"VENCIDO",IF(E85&lt;=TODAY()+7,"VENCE EM 7 DIAS",IF(E85&lt;=TODAY()+30,"VENCE EM 30 DIAS","OK"))))</f>
        <v/>
      </c>
      <c r="J85" s="17">
        <f>IF(A85="","",IF(G85&lt;=0,"SEM ESTOQUE",IF(E85&lt;TODAY(),"VENCIDO",IF(E85&lt;=TODAY()+30,"ATENÇÃO","OK"))))</f>
        <v/>
      </c>
      <c r="K85" s="15" t="n"/>
    </row>
    <row r="86">
      <c r="A86" s="15" t="n"/>
      <c r="B86" s="17">
        <f>IFERROR(VLOOKUP(A86,Produtos!$A$5:$M$204,2,FALSE),"")</f>
        <v/>
      </c>
      <c r="C86" s="15" t="n"/>
      <c r="D86" s="20" t="n"/>
      <c r="E86" s="20" t="n"/>
      <c r="F86" s="15" t="n"/>
      <c r="G86" s="15" t="n"/>
      <c r="H86" s="17">
        <f>IF(E86="","",E86-TODAY())</f>
        <v/>
      </c>
      <c r="I86" s="17">
        <f>IF(E86="","",IF(E86&lt;TODAY(),"VENCIDO",IF(E86&lt;=TODAY()+7,"VENCE EM 7 DIAS",IF(E86&lt;=TODAY()+30,"VENCE EM 30 DIAS","OK"))))</f>
        <v/>
      </c>
      <c r="J86" s="17">
        <f>IF(A86="","",IF(G86&lt;=0,"SEM ESTOQUE",IF(E86&lt;TODAY(),"VENCIDO",IF(E86&lt;=TODAY()+30,"ATENÇÃO","OK"))))</f>
        <v/>
      </c>
      <c r="K86" s="15" t="n"/>
    </row>
    <row r="87">
      <c r="A87" s="15" t="n"/>
      <c r="B87" s="17">
        <f>IFERROR(VLOOKUP(A87,Produtos!$A$5:$M$204,2,FALSE),"")</f>
        <v/>
      </c>
      <c r="C87" s="15" t="n"/>
      <c r="D87" s="20" t="n"/>
      <c r="E87" s="20" t="n"/>
      <c r="F87" s="15" t="n"/>
      <c r="G87" s="15" t="n"/>
      <c r="H87" s="17">
        <f>IF(E87="","",E87-TODAY())</f>
        <v/>
      </c>
      <c r="I87" s="17">
        <f>IF(E87="","",IF(E87&lt;TODAY(),"VENCIDO",IF(E87&lt;=TODAY()+7,"VENCE EM 7 DIAS",IF(E87&lt;=TODAY()+30,"VENCE EM 30 DIAS","OK"))))</f>
        <v/>
      </c>
      <c r="J87" s="17">
        <f>IF(A87="","",IF(G87&lt;=0,"SEM ESTOQUE",IF(E87&lt;TODAY(),"VENCIDO",IF(E87&lt;=TODAY()+30,"ATENÇÃO","OK"))))</f>
        <v/>
      </c>
      <c r="K87" s="15" t="n"/>
    </row>
    <row r="88">
      <c r="A88" s="15" t="n"/>
      <c r="B88" s="17">
        <f>IFERROR(VLOOKUP(A88,Produtos!$A$5:$M$204,2,FALSE),"")</f>
        <v/>
      </c>
      <c r="C88" s="15" t="n"/>
      <c r="D88" s="20" t="n"/>
      <c r="E88" s="20" t="n"/>
      <c r="F88" s="15" t="n"/>
      <c r="G88" s="15" t="n"/>
      <c r="H88" s="17">
        <f>IF(E88="","",E88-TODAY())</f>
        <v/>
      </c>
      <c r="I88" s="17">
        <f>IF(E88="","",IF(E88&lt;TODAY(),"VENCIDO",IF(E88&lt;=TODAY()+7,"VENCE EM 7 DIAS",IF(E88&lt;=TODAY()+30,"VENCE EM 30 DIAS","OK"))))</f>
        <v/>
      </c>
      <c r="J88" s="17">
        <f>IF(A88="","",IF(G88&lt;=0,"SEM ESTOQUE",IF(E88&lt;TODAY(),"VENCIDO",IF(E88&lt;=TODAY()+30,"ATENÇÃO","OK"))))</f>
        <v/>
      </c>
      <c r="K88" s="15" t="n"/>
    </row>
    <row r="89">
      <c r="A89" s="15" t="n"/>
      <c r="B89" s="17">
        <f>IFERROR(VLOOKUP(A89,Produtos!$A$5:$M$204,2,FALSE),"")</f>
        <v/>
      </c>
      <c r="C89" s="15" t="n"/>
      <c r="D89" s="20" t="n"/>
      <c r="E89" s="20" t="n"/>
      <c r="F89" s="15" t="n"/>
      <c r="G89" s="15" t="n"/>
      <c r="H89" s="17">
        <f>IF(E89="","",E89-TODAY())</f>
        <v/>
      </c>
      <c r="I89" s="17">
        <f>IF(E89="","",IF(E89&lt;TODAY(),"VENCIDO",IF(E89&lt;=TODAY()+7,"VENCE EM 7 DIAS",IF(E89&lt;=TODAY()+30,"VENCE EM 30 DIAS","OK"))))</f>
        <v/>
      </c>
      <c r="J89" s="17">
        <f>IF(A89="","",IF(G89&lt;=0,"SEM ESTOQUE",IF(E89&lt;TODAY(),"VENCIDO",IF(E89&lt;=TODAY()+30,"ATENÇÃO","OK"))))</f>
        <v/>
      </c>
      <c r="K89" s="15" t="n"/>
    </row>
    <row r="90">
      <c r="A90" s="15" t="n"/>
      <c r="B90" s="17">
        <f>IFERROR(VLOOKUP(A90,Produtos!$A$5:$M$204,2,FALSE),"")</f>
        <v/>
      </c>
      <c r="C90" s="15" t="n"/>
      <c r="D90" s="20" t="n"/>
      <c r="E90" s="20" t="n"/>
      <c r="F90" s="15" t="n"/>
      <c r="G90" s="15" t="n"/>
      <c r="H90" s="17">
        <f>IF(E90="","",E90-TODAY())</f>
        <v/>
      </c>
      <c r="I90" s="17">
        <f>IF(E90="","",IF(E90&lt;TODAY(),"VENCIDO",IF(E90&lt;=TODAY()+7,"VENCE EM 7 DIAS",IF(E90&lt;=TODAY()+30,"VENCE EM 30 DIAS","OK"))))</f>
        <v/>
      </c>
      <c r="J90" s="17">
        <f>IF(A90="","",IF(G90&lt;=0,"SEM ESTOQUE",IF(E90&lt;TODAY(),"VENCIDO",IF(E90&lt;=TODAY()+30,"ATENÇÃO","OK"))))</f>
        <v/>
      </c>
      <c r="K90" s="15" t="n"/>
    </row>
    <row r="91">
      <c r="A91" s="15" t="n"/>
      <c r="B91" s="17">
        <f>IFERROR(VLOOKUP(A91,Produtos!$A$5:$M$204,2,FALSE),"")</f>
        <v/>
      </c>
      <c r="C91" s="15" t="n"/>
      <c r="D91" s="20" t="n"/>
      <c r="E91" s="20" t="n"/>
      <c r="F91" s="15" t="n"/>
      <c r="G91" s="15" t="n"/>
      <c r="H91" s="17">
        <f>IF(E91="","",E91-TODAY())</f>
        <v/>
      </c>
      <c r="I91" s="17">
        <f>IF(E91="","",IF(E91&lt;TODAY(),"VENCIDO",IF(E91&lt;=TODAY()+7,"VENCE EM 7 DIAS",IF(E91&lt;=TODAY()+30,"VENCE EM 30 DIAS","OK"))))</f>
        <v/>
      </c>
      <c r="J91" s="17">
        <f>IF(A91="","",IF(G91&lt;=0,"SEM ESTOQUE",IF(E91&lt;TODAY(),"VENCIDO",IF(E91&lt;=TODAY()+30,"ATENÇÃO","OK"))))</f>
        <v/>
      </c>
      <c r="K91" s="15" t="n"/>
    </row>
    <row r="92">
      <c r="A92" s="15" t="n"/>
      <c r="B92" s="17">
        <f>IFERROR(VLOOKUP(A92,Produtos!$A$5:$M$204,2,FALSE),"")</f>
        <v/>
      </c>
      <c r="C92" s="15" t="n"/>
      <c r="D92" s="20" t="n"/>
      <c r="E92" s="20" t="n"/>
      <c r="F92" s="15" t="n"/>
      <c r="G92" s="15" t="n"/>
      <c r="H92" s="17">
        <f>IF(E92="","",E92-TODAY())</f>
        <v/>
      </c>
      <c r="I92" s="17">
        <f>IF(E92="","",IF(E92&lt;TODAY(),"VENCIDO",IF(E92&lt;=TODAY()+7,"VENCE EM 7 DIAS",IF(E92&lt;=TODAY()+30,"VENCE EM 30 DIAS","OK"))))</f>
        <v/>
      </c>
      <c r="J92" s="17">
        <f>IF(A92="","",IF(G92&lt;=0,"SEM ESTOQUE",IF(E92&lt;TODAY(),"VENCIDO",IF(E92&lt;=TODAY()+30,"ATENÇÃO","OK"))))</f>
        <v/>
      </c>
      <c r="K92" s="15" t="n"/>
    </row>
    <row r="93">
      <c r="A93" s="15" t="n"/>
      <c r="B93" s="17">
        <f>IFERROR(VLOOKUP(A93,Produtos!$A$5:$M$204,2,FALSE),"")</f>
        <v/>
      </c>
      <c r="C93" s="15" t="n"/>
      <c r="D93" s="20" t="n"/>
      <c r="E93" s="20" t="n"/>
      <c r="F93" s="15" t="n"/>
      <c r="G93" s="15" t="n"/>
      <c r="H93" s="17">
        <f>IF(E93="","",E93-TODAY())</f>
        <v/>
      </c>
      <c r="I93" s="17">
        <f>IF(E93="","",IF(E93&lt;TODAY(),"VENCIDO",IF(E93&lt;=TODAY()+7,"VENCE EM 7 DIAS",IF(E93&lt;=TODAY()+30,"VENCE EM 30 DIAS","OK"))))</f>
        <v/>
      </c>
      <c r="J93" s="17">
        <f>IF(A93="","",IF(G93&lt;=0,"SEM ESTOQUE",IF(E93&lt;TODAY(),"VENCIDO",IF(E93&lt;=TODAY()+30,"ATENÇÃO","OK"))))</f>
        <v/>
      </c>
      <c r="K93" s="15" t="n"/>
    </row>
    <row r="94">
      <c r="A94" s="15" t="n"/>
      <c r="B94" s="17">
        <f>IFERROR(VLOOKUP(A94,Produtos!$A$5:$M$204,2,FALSE),"")</f>
        <v/>
      </c>
      <c r="C94" s="15" t="n"/>
      <c r="D94" s="20" t="n"/>
      <c r="E94" s="20" t="n"/>
      <c r="F94" s="15" t="n"/>
      <c r="G94" s="15" t="n"/>
      <c r="H94" s="17">
        <f>IF(E94="","",E94-TODAY())</f>
        <v/>
      </c>
      <c r="I94" s="17">
        <f>IF(E94="","",IF(E94&lt;TODAY(),"VENCIDO",IF(E94&lt;=TODAY()+7,"VENCE EM 7 DIAS",IF(E94&lt;=TODAY()+30,"VENCE EM 30 DIAS","OK"))))</f>
        <v/>
      </c>
      <c r="J94" s="17">
        <f>IF(A94="","",IF(G94&lt;=0,"SEM ESTOQUE",IF(E94&lt;TODAY(),"VENCIDO",IF(E94&lt;=TODAY()+30,"ATENÇÃO","OK"))))</f>
        <v/>
      </c>
      <c r="K94" s="15" t="n"/>
    </row>
    <row r="95">
      <c r="A95" s="15" t="n"/>
      <c r="B95" s="17">
        <f>IFERROR(VLOOKUP(A95,Produtos!$A$5:$M$204,2,FALSE),"")</f>
        <v/>
      </c>
      <c r="C95" s="15" t="n"/>
      <c r="D95" s="20" t="n"/>
      <c r="E95" s="20" t="n"/>
      <c r="F95" s="15" t="n"/>
      <c r="G95" s="15" t="n"/>
      <c r="H95" s="17">
        <f>IF(E95="","",E95-TODAY())</f>
        <v/>
      </c>
      <c r="I95" s="17">
        <f>IF(E95="","",IF(E95&lt;TODAY(),"VENCIDO",IF(E95&lt;=TODAY()+7,"VENCE EM 7 DIAS",IF(E95&lt;=TODAY()+30,"VENCE EM 30 DIAS","OK"))))</f>
        <v/>
      </c>
      <c r="J95" s="17">
        <f>IF(A95="","",IF(G95&lt;=0,"SEM ESTOQUE",IF(E95&lt;TODAY(),"VENCIDO",IF(E95&lt;=TODAY()+30,"ATENÇÃO","OK"))))</f>
        <v/>
      </c>
      <c r="K95" s="15" t="n"/>
    </row>
    <row r="96">
      <c r="A96" s="15" t="n"/>
      <c r="B96" s="17">
        <f>IFERROR(VLOOKUP(A96,Produtos!$A$5:$M$204,2,FALSE),"")</f>
        <v/>
      </c>
      <c r="C96" s="15" t="n"/>
      <c r="D96" s="20" t="n"/>
      <c r="E96" s="20" t="n"/>
      <c r="F96" s="15" t="n"/>
      <c r="G96" s="15" t="n"/>
      <c r="H96" s="17">
        <f>IF(E96="","",E96-TODAY())</f>
        <v/>
      </c>
      <c r="I96" s="17">
        <f>IF(E96="","",IF(E96&lt;TODAY(),"VENCIDO",IF(E96&lt;=TODAY()+7,"VENCE EM 7 DIAS",IF(E96&lt;=TODAY()+30,"VENCE EM 30 DIAS","OK"))))</f>
        <v/>
      </c>
      <c r="J96" s="17">
        <f>IF(A96="","",IF(G96&lt;=0,"SEM ESTOQUE",IF(E96&lt;TODAY(),"VENCIDO",IF(E96&lt;=TODAY()+30,"ATENÇÃO","OK"))))</f>
        <v/>
      </c>
      <c r="K96" s="15" t="n"/>
    </row>
    <row r="97">
      <c r="A97" s="15" t="n"/>
      <c r="B97" s="17">
        <f>IFERROR(VLOOKUP(A97,Produtos!$A$5:$M$204,2,FALSE),"")</f>
        <v/>
      </c>
      <c r="C97" s="15" t="n"/>
      <c r="D97" s="20" t="n"/>
      <c r="E97" s="20" t="n"/>
      <c r="F97" s="15" t="n"/>
      <c r="G97" s="15" t="n"/>
      <c r="H97" s="17">
        <f>IF(E97="","",E97-TODAY())</f>
        <v/>
      </c>
      <c r="I97" s="17">
        <f>IF(E97="","",IF(E97&lt;TODAY(),"VENCIDO",IF(E97&lt;=TODAY()+7,"VENCE EM 7 DIAS",IF(E97&lt;=TODAY()+30,"VENCE EM 30 DIAS","OK"))))</f>
        <v/>
      </c>
      <c r="J97" s="17">
        <f>IF(A97="","",IF(G97&lt;=0,"SEM ESTOQUE",IF(E97&lt;TODAY(),"VENCIDO",IF(E97&lt;=TODAY()+30,"ATENÇÃO","OK"))))</f>
        <v/>
      </c>
      <c r="K97" s="15" t="n"/>
    </row>
    <row r="98">
      <c r="A98" s="15" t="n"/>
      <c r="B98" s="17">
        <f>IFERROR(VLOOKUP(A98,Produtos!$A$5:$M$204,2,FALSE),"")</f>
        <v/>
      </c>
      <c r="C98" s="15" t="n"/>
      <c r="D98" s="20" t="n"/>
      <c r="E98" s="20" t="n"/>
      <c r="F98" s="15" t="n"/>
      <c r="G98" s="15" t="n"/>
      <c r="H98" s="17">
        <f>IF(E98="","",E98-TODAY())</f>
        <v/>
      </c>
      <c r="I98" s="17">
        <f>IF(E98="","",IF(E98&lt;TODAY(),"VENCIDO",IF(E98&lt;=TODAY()+7,"VENCE EM 7 DIAS",IF(E98&lt;=TODAY()+30,"VENCE EM 30 DIAS","OK"))))</f>
        <v/>
      </c>
      <c r="J98" s="17">
        <f>IF(A98="","",IF(G98&lt;=0,"SEM ESTOQUE",IF(E98&lt;TODAY(),"VENCIDO",IF(E98&lt;=TODAY()+30,"ATENÇÃO","OK"))))</f>
        <v/>
      </c>
      <c r="K98" s="15" t="n"/>
    </row>
    <row r="99">
      <c r="A99" s="15" t="n"/>
      <c r="B99" s="17">
        <f>IFERROR(VLOOKUP(A99,Produtos!$A$5:$M$204,2,FALSE),"")</f>
        <v/>
      </c>
      <c r="C99" s="15" t="n"/>
      <c r="D99" s="20" t="n"/>
      <c r="E99" s="20" t="n"/>
      <c r="F99" s="15" t="n"/>
      <c r="G99" s="15" t="n"/>
      <c r="H99" s="17">
        <f>IF(E99="","",E99-TODAY())</f>
        <v/>
      </c>
      <c r="I99" s="17">
        <f>IF(E99="","",IF(E99&lt;TODAY(),"VENCIDO",IF(E99&lt;=TODAY()+7,"VENCE EM 7 DIAS",IF(E99&lt;=TODAY()+30,"VENCE EM 30 DIAS","OK"))))</f>
        <v/>
      </c>
      <c r="J99" s="17">
        <f>IF(A99="","",IF(G99&lt;=0,"SEM ESTOQUE",IF(E99&lt;TODAY(),"VENCIDO",IF(E99&lt;=TODAY()+30,"ATENÇÃO","OK"))))</f>
        <v/>
      </c>
      <c r="K99" s="15" t="n"/>
    </row>
    <row r="100">
      <c r="A100" s="15" t="n"/>
      <c r="B100" s="17">
        <f>IFERROR(VLOOKUP(A100,Produtos!$A$5:$M$204,2,FALSE),"")</f>
        <v/>
      </c>
      <c r="C100" s="15" t="n"/>
      <c r="D100" s="20" t="n"/>
      <c r="E100" s="20" t="n"/>
      <c r="F100" s="15" t="n"/>
      <c r="G100" s="15" t="n"/>
      <c r="H100" s="17">
        <f>IF(E100="","",E100-TODAY())</f>
        <v/>
      </c>
      <c r="I100" s="17">
        <f>IF(E100="","",IF(E100&lt;TODAY(),"VENCIDO",IF(E100&lt;=TODAY()+7,"VENCE EM 7 DIAS",IF(E100&lt;=TODAY()+30,"VENCE EM 30 DIAS","OK"))))</f>
        <v/>
      </c>
      <c r="J100" s="17">
        <f>IF(A100="","",IF(G100&lt;=0,"SEM ESTOQUE",IF(E100&lt;TODAY(),"VENCIDO",IF(E100&lt;=TODAY()+30,"ATENÇÃO","OK"))))</f>
        <v/>
      </c>
      <c r="K100" s="15" t="n"/>
    </row>
    <row r="101">
      <c r="A101" s="15" t="n"/>
      <c r="B101" s="17">
        <f>IFERROR(VLOOKUP(A101,Produtos!$A$5:$M$204,2,FALSE),"")</f>
        <v/>
      </c>
      <c r="C101" s="15" t="n"/>
      <c r="D101" s="20" t="n"/>
      <c r="E101" s="20" t="n"/>
      <c r="F101" s="15" t="n"/>
      <c r="G101" s="15" t="n"/>
      <c r="H101" s="17">
        <f>IF(E101="","",E101-TODAY())</f>
        <v/>
      </c>
      <c r="I101" s="17">
        <f>IF(E101="","",IF(E101&lt;TODAY(),"VENCIDO",IF(E101&lt;=TODAY()+7,"VENCE EM 7 DIAS",IF(E101&lt;=TODAY()+30,"VENCE EM 30 DIAS","OK"))))</f>
        <v/>
      </c>
      <c r="J101" s="17">
        <f>IF(A101="","",IF(G101&lt;=0,"SEM ESTOQUE",IF(E101&lt;TODAY(),"VENCIDO",IF(E101&lt;=TODAY()+30,"ATENÇÃO","OK"))))</f>
        <v/>
      </c>
      <c r="K101" s="15" t="n"/>
    </row>
    <row r="102">
      <c r="A102" s="15" t="n"/>
      <c r="B102" s="17">
        <f>IFERROR(VLOOKUP(A102,Produtos!$A$5:$M$204,2,FALSE),"")</f>
        <v/>
      </c>
      <c r="C102" s="15" t="n"/>
      <c r="D102" s="20" t="n"/>
      <c r="E102" s="20" t="n"/>
      <c r="F102" s="15" t="n"/>
      <c r="G102" s="15" t="n"/>
      <c r="H102" s="17">
        <f>IF(E102="","",E102-TODAY())</f>
        <v/>
      </c>
      <c r="I102" s="17">
        <f>IF(E102="","",IF(E102&lt;TODAY(),"VENCIDO",IF(E102&lt;=TODAY()+7,"VENCE EM 7 DIAS",IF(E102&lt;=TODAY()+30,"VENCE EM 30 DIAS","OK"))))</f>
        <v/>
      </c>
      <c r="J102" s="17">
        <f>IF(A102="","",IF(G102&lt;=0,"SEM ESTOQUE",IF(E102&lt;TODAY(),"VENCIDO",IF(E102&lt;=TODAY()+30,"ATENÇÃO","OK"))))</f>
        <v/>
      </c>
      <c r="K102" s="15" t="n"/>
    </row>
    <row r="103">
      <c r="A103" s="15" t="n"/>
      <c r="B103" s="17">
        <f>IFERROR(VLOOKUP(A103,Produtos!$A$5:$M$204,2,FALSE),"")</f>
        <v/>
      </c>
      <c r="C103" s="15" t="n"/>
      <c r="D103" s="20" t="n"/>
      <c r="E103" s="20" t="n"/>
      <c r="F103" s="15" t="n"/>
      <c r="G103" s="15" t="n"/>
      <c r="H103" s="17">
        <f>IF(E103="","",E103-TODAY())</f>
        <v/>
      </c>
      <c r="I103" s="17">
        <f>IF(E103="","",IF(E103&lt;TODAY(),"VENCIDO",IF(E103&lt;=TODAY()+7,"VENCE EM 7 DIAS",IF(E103&lt;=TODAY()+30,"VENCE EM 30 DIAS","OK"))))</f>
        <v/>
      </c>
      <c r="J103" s="17">
        <f>IF(A103="","",IF(G103&lt;=0,"SEM ESTOQUE",IF(E103&lt;TODAY(),"VENCIDO",IF(E103&lt;=TODAY()+30,"ATENÇÃO","OK"))))</f>
        <v/>
      </c>
      <c r="K103" s="15" t="n"/>
    </row>
    <row r="104">
      <c r="A104" s="15" t="n"/>
      <c r="B104" s="17">
        <f>IFERROR(VLOOKUP(A104,Produtos!$A$5:$M$204,2,FALSE),"")</f>
        <v/>
      </c>
      <c r="C104" s="15" t="n"/>
      <c r="D104" s="20" t="n"/>
      <c r="E104" s="20" t="n"/>
      <c r="F104" s="15" t="n"/>
      <c r="G104" s="15" t="n"/>
      <c r="H104" s="17">
        <f>IF(E104="","",E104-TODAY())</f>
        <v/>
      </c>
      <c r="I104" s="17">
        <f>IF(E104="","",IF(E104&lt;TODAY(),"VENCIDO",IF(E104&lt;=TODAY()+7,"VENCE EM 7 DIAS",IF(E104&lt;=TODAY()+30,"VENCE EM 30 DIAS","OK"))))</f>
        <v/>
      </c>
      <c r="J104" s="17">
        <f>IF(A104="","",IF(G104&lt;=0,"SEM ESTOQUE",IF(E104&lt;TODAY(),"VENCIDO",IF(E104&lt;=TODAY()+30,"ATENÇÃO","OK"))))</f>
        <v/>
      </c>
      <c r="K104" s="15" t="n"/>
    </row>
    <row r="105">
      <c r="A105" s="15" t="n"/>
      <c r="B105" s="17">
        <f>IFERROR(VLOOKUP(A105,Produtos!$A$5:$M$204,2,FALSE),"")</f>
        <v/>
      </c>
      <c r="C105" s="15" t="n"/>
      <c r="D105" s="20" t="n"/>
      <c r="E105" s="20" t="n"/>
      <c r="F105" s="15" t="n"/>
      <c r="G105" s="15" t="n"/>
      <c r="H105" s="17">
        <f>IF(E105="","",E105-TODAY())</f>
        <v/>
      </c>
      <c r="I105" s="17">
        <f>IF(E105="","",IF(E105&lt;TODAY(),"VENCIDO",IF(E105&lt;=TODAY()+7,"VENCE EM 7 DIAS",IF(E105&lt;=TODAY()+30,"VENCE EM 30 DIAS","OK"))))</f>
        <v/>
      </c>
      <c r="J105" s="17">
        <f>IF(A105="","",IF(G105&lt;=0,"SEM ESTOQUE",IF(E105&lt;TODAY(),"VENCIDO",IF(E105&lt;=TODAY()+30,"ATENÇÃO","OK"))))</f>
        <v/>
      </c>
      <c r="K105" s="15" t="n"/>
    </row>
    <row r="106">
      <c r="A106" s="15" t="n"/>
      <c r="B106" s="17">
        <f>IFERROR(VLOOKUP(A106,Produtos!$A$5:$M$204,2,FALSE),"")</f>
        <v/>
      </c>
      <c r="C106" s="15" t="n"/>
      <c r="D106" s="20" t="n"/>
      <c r="E106" s="20" t="n"/>
      <c r="F106" s="15" t="n"/>
      <c r="G106" s="15" t="n"/>
      <c r="H106" s="17">
        <f>IF(E106="","",E106-TODAY())</f>
        <v/>
      </c>
      <c r="I106" s="17">
        <f>IF(E106="","",IF(E106&lt;TODAY(),"VENCIDO",IF(E106&lt;=TODAY()+7,"VENCE EM 7 DIAS",IF(E106&lt;=TODAY()+30,"VENCE EM 30 DIAS","OK"))))</f>
        <v/>
      </c>
      <c r="J106" s="17">
        <f>IF(A106="","",IF(G106&lt;=0,"SEM ESTOQUE",IF(E106&lt;TODAY(),"VENCIDO",IF(E106&lt;=TODAY()+30,"ATENÇÃO","OK"))))</f>
        <v/>
      </c>
      <c r="K106" s="15" t="n"/>
    </row>
    <row r="107">
      <c r="A107" s="15" t="n"/>
      <c r="B107" s="17">
        <f>IFERROR(VLOOKUP(A107,Produtos!$A$5:$M$204,2,FALSE),"")</f>
        <v/>
      </c>
      <c r="C107" s="15" t="n"/>
      <c r="D107" s="20" t="n"/>
      <c r="E107" s="20" t="n"/>
      <c r="F107" s="15" t="n"/>
      <c r="G107" s="15" t="n"/>
      <c r="H107" s="17">
        <f>IF(E107="","",E107-TODAY())</f>
        <v/>
      </c>
      <c r="I107" s="17">
        <f>IF(E107="","",IF(E107&lt;TODAY(),"VENCIDO",IF(E107&lt;=TODAY()+7,"VENCE EM 7 DIAS",IF(E107&lt;=TODAY()+30,"VENCE EM 30 DIAS","OK"))))</f>
        <v/>
      </c>
      <c r="J107" s="17">
        <f>IF(A107="","",IF(G107&lt;=0,"SEM ESTOQUE",IF(E107&lt;TODAY(),"VENCIDO",IF(E107&lt;=TODAY()+30,"ATENÇÃO","OK"))))</f>
        <v/>
      </c>
      <c r="K107" s="15" t="n"/>
    </row>
    <row r="108">
      <c r="A108" s="15" t="n"/>
      <c r="B108" s="17">
        <f>IFERROR(VLOOKUP(A108,Produtos!$A$5:$M$204,2,FALSE),"")</f>
        <v/>
      </c>
      <c r="C108" s="15" t="n"/>
      <c r="D108" s="20" t="n"/>
      <c r="E108" s="20" t="n"/>
      <c r="F108" s="15" t="n"/>
      <c r="G108" s="15" t="n"/>
      <c r="H108" s="17">
        <f>IF(E108="","",E108-TODAY())</f>
        <v/>
      </c>
      <c r="I108" s="17">
        <f>IF(E108="","",IF(E108&lt;TODAY(),"VENCIDO",IF(E108&lt;=TODAY()+7,"VENCE EM 7 DIAS",IF(E108&lt;=TODAY()+30,"VENCE EM 30 DIAS","OK"))))</f>
        <v/>
      </c>
      <c r="J108" s="17">
        <f>IF(A108="","",IF(G108&lt;=0,"SEM ESTOQUE",IF(E108&lt;TODAY(),"VENCIDO",IF(E108&lt;=TODAY()+30,"ATENÇÃO","OK"))))</f>
        <v/>
      </c>
      <c r="K108" s="15" t="n"/>
    </row>
    <row r="109">
      <c r="A109" s="15" t="n"/>
      <c r="B109" s="17">
        <f>IFERROR(VLOOKUP(A109,Produtos!$A$5:$M$204,2,FALSE),"")</f>
        <v/>
      </c>
      <c r="C109" s="15" t="n"/>
      <c r="D109" s="20" t="n"/>
      <c r="E109" s="20" t="n"/>
      <c r="F109" s="15" t="n"/>
      <c r="G109" s="15" t="n"/>
      <c r="H109" s="17">
        <f>IF(E109="","",E109-TODAY())</f>
        <v/>
      </c>
      <c r="I109" s="17">
        <f>IF(E109="","",IF(E109&lt;TODAY(),"VENCIDO",IF(E109&lt;=TODAY()+7,"VENCE EM 7 DIAS",IF(E109&lt;=TODAY()+30,"VENCE EM 30 DIAS","OK"))))</f>
        <v/>
      </c>
      <c r="J109" s="17">
        <f>IF(A109="","",IF(G109&lt;=0,"SEM ESTOQUE",IF(E109&lt;TODAY(),"VENCIDO",IF(E109&lt;=TODAY()+30,"ATENÇÃO","OK"))))</f>
        <v/>
      </c>
      <c r="K109" s="15" t="n"/>
    </row>
    <row r="110">
      <c r="A110" s="15" t="n"/>
      <c r="B110" s="17">
        <f>IFERROR(VLOOKUP(A110,Produtos!$A$5:$M$204,2,FALSE),"")</f>
        <v/>
      </c>
      <c r="C110" s="15" t="n"/>
      <c r="D110" s="20" t="n"/>
      <c r="E110" s="20" t="n"/>
      <c r="F110" s="15" t="n"/>
      <c r="G110" s="15" t="n"/>
      <c r="H110" s="17">
        <f>IF(E110="","",E110-TODAY())</f>
        <v/>
      </c>
      <c r="I110" s="17">
        <f>IF(E110="","",IF(E110&lt;TODAY(),"VENCIDO",IF(E110&lt;=TODAY()+7,"VENCE EM 7 DIAS",IF(E110&lt;=TODAY()+30,"VENCE EM 30 DIAS","OK"))))</f>
        <v/>
      </c>
      <c r="J110" s="17">
        <f>IF(A110="","",IF(G110&lt;=0,"SEM ESTOQUE",IF(E110&lt;TODAY(),"VENCIDO",IF(E110&lt;=TODAY()+30,"ATENÇÃO","OK"))))</f>
        <v/>
      </c>
      <c r="K110" s="15" t="n"/>
    </row>
    <row r="111">
      <c r="A111" s="15" t="n"/>
      <c r="B111" s="17">
        <f>IFERROR(VLOOKUP(A111,Produtos!$A$5:$M$204,2,FALSE),"")</f>
        <v/>
      </c>
      <c r="C111" s="15" t="n"/>
      <c r="D111" s="20" t="n"/>
      <c r="E111" s="20" t="n"/>
      <c r="F111" s="15" t="n"/>
      <c r="G111" s="15" t="n"/>
      <c r="H111" s="17">
        <f>IF(E111="","",E111-TODAY())</f>
        <v/>
      </c>
      <c r="I111" s="17">
        <f>IF(E111="","",IF(E111&lt;TODAY(),"VENCIDO",IF(E111&lt;=TODAY()+7,"VENCE EM 7 DIAS",IF(E111&lt;=TODAY()+30,"VENCE EM 30 DIAS","OK"))))</f>
        <v/>
      </c>
      <c r="J111" s="17">
        <f>IF(A111="","",IF(G111&lt;=0,"SEM ESTOQUE",IF(E111&lt;TODAY(),"VENCIDO",IF(E111&lt;=TODAY()+30,"ATENÇÃO","OK"))))</f>
        <v/>
      </c>
      <c r="K111" s="15" t="n"/>
    </row>
    <row r="112">
      <c r="A112" s="15" t="n"/>
      <c r="B112" s="17">
        <f>IFERROR(VLOOKUP(A112,Produtos!$A$5:$M$204,2,FALSE),"")</f>
        <v/>
      </c>
      <c r="C112" s="15" t="n"/>
      <c r="D112" s="20" t="n"/>
      <c r="E112" s="20" t="n"/>
      <c r="F112" s="15" t="n"/>
      <c r="G112" s="15" t="n"/>
      <c r="H112" s="17">
        <f>IF(E112="","",E112-TODAY())</f>
        <v/>
      </c>
      <c r="I112" s="17">
        <f>IF(E112="","",IF(E112&lt;TODAY(),"VENCIDO",IF(E112&lt;=TODAY()+7,"VENCE EM 7 DIAS",IF(E112&lt;=TODAY()+30,"VENCE EM 30 DIAS","OK"))))</f>
        <v/>
      </c>
      <c r="J112" s="17">
        <f>IF(A112="","",IF(G112&lt;=0,"SEM ESTOQUE",IF(E112&lt;TODAY(),"VENCIDO",IF(E112&lt;=TODAY()+30,"ATENÇÃO","OK"))))</f>
        <v/>
      </c>
      <c r="K112" s="15" t="n"/>
    </row>
    <row r="113">
      <c r="A113" s="15" t="n"/>
      <c r="B113" s="17">
        <f>IFERROR(VLOOKUP(A113,Produtos!$A$5:$M$204,2,FALSE),"")</f>
        <v/>
      </c>
      <c r="C113" s="15" t="n"/>
      <c r="D113" s="20" t="n"/>
      <c r="E113" s="20" t="n"/>
      <c r="F113" s="15" t="n"/>
      <c r="G113" s="15" t="n"/>
      <c r="H113" s="17">
        <f>IF(E113="","",E113-TODAY())</f>
        <v/>
      </c>
      <c r="I113" s="17">
        <f>IF(E113="","",IF(E113&lt;TODAY(),"VENCIDO",IF(E113&lt;=TODAY()+7,"VENCE EM 7 DIAS",IF(E113&lt;=TODAY()+30,"VENCE EM 30 DIAS","OK"))))</f>
        <v/>
      </c>
      <c r="J113" s="17">
        <f>IF(A113="","",IF(G113&lt;=0,"SEM ESTOQUE",IF(E113&lt;TODAY(),"VENCIDO",IF(E113&lt;=TODAY()+30,"ATENÇÃO","OK"))))</f>
        <v/>
      </c>
      <c r="K113" s="15" t="n"/>
    </row>
    <row r="114">
      <c r="A114" s="15" t="n"/>
      <c r="B114" s="17">
        <f>IFERROR(VLOOKUP(A114,Produtos!$A$5:$M$204,2,FALSE),"")</f>
        <v/>
      </c>
      <c r="C114" s="15" t="n"/>
      <c r="D114" s="20" t="n"/>
      <c r="E114" s="20" t="n"/>
      <c r="F114" s="15" t="n"/>
      <c r="G114" s="15" t="n"/>
      <c r="H114" s="17">
        <f>IF(E114="","",E114-TODAY())</f>
        <v/>
      </c>
      <c r="I114" s="17">
        <f>IF(E114="","",IF(E114&lt;TODAY(),"VENCIDO",IF(E114&lt;=TODAY()+7,"VENCE EM 7 DIAS",IF(E114&lt;=TODAY()+30,"VENCE EM 30 DIAS","OK"))))</f>
        <v/>
      </c>
      <c r="J114" s="17">
        <f>IF(A114="","",IF(G114&lt;=0,"SEM ESTOQUE",IF(E114&lt;TODAY(),"VENCIDO",IF(E114&lt;=TODAY()+30,"ATENÇÃO","OK"))))</f>
        <v/>
      </c>
      <c r="K114" s="15" t="n"/>
    </row>
    <row r="115">
      <c r="A115" s="15" t="n"/>
      <c r="B115" s="17">
        <f>IFERROR(VLOOKUP(A115,Produtos!$A$5:$M$204,2,FALSE),"")</f>
        <v/>
      </c>
      <c r="C115" s="15" t="n"/>
      <c r="D115" s="20" t="n"/>
      <c r="E115" s="20" t="n"/>
      <c r="F115" s="15" t="n"/>
      <c r="G115" s="15" t="n"/>
      <c r="H115" s="17">
        <f>IF(E115="","",E115-TODAY())</f>
        <v/>
      </c>
      <c r="I115" s="17">
        <f>IF(E115="","",IF(E115&lt;TODAY(),"VENCIDO",IF(E115&lt;=TODAY()+7,"VENCE EM 7 DIAS",IF(E115&lt;=TODAY()+30,"VENCE EM 30 DIAS","OK"))))</f>
        <v/>
      </c>
      <c r="J115" s="17">
        <f>IF(A115="","",IF(G115&lt;=0,"SEM ESTOQUE",IF(E115&lt;TODAY(),"VENCIDO",IF(E115&lt;=TODAY()+30,"ATENÇÃO","OK"))))</f>
        <v/>
      </c>
      <c r="K115" s="15" t="n"/>
    </row>
    <row r="116">
      <c r="A116" s="15" t="n"/>
      <c r="B116" s="17">
        <f>IFERROR(VLOOKUP(A116,Produtos!$A$5:$M$204,2,FALSE),"")</f>
        <v/>
      </c>
      <c r="C116" s="15" t="n"/>
      <c r="D116" s="20" t="n"/>
      <c r="E116" s="20" t="n"/>
      <c r="F116" s="15" t="n"/>
      <c r="G116" s="15" t="n"/>
      <c r="H116" s="17">
        <f>IF(E116="","",E116-TODAY())</f>
        <v/>
      </c>
      <c r="I116" s="17">
        <f>IF(E116="","",IF(E116&lt;TODAY(),"VENCIDO",IF(E116&lt;=TODAY()+7,"VENCE EM 7 DIAS",IF(E116&lt;=TODAY()+30,"VENCE EM 30 DIAS","OK"))))</f>
        <v/>
      </c>
      <c r="J116" s="17">
        <f>IF(A116="","",IF(G116&lt;=0,"SEM ESTOQUE",IF(E116&lt;TODAY(),"VENCIDO",IF(E116&lt;=TODAY()+30,"ATENÇÃO","OK"))))</f>
        <v/>
      </c>
      <c r="K116" s="15" t="n"/>
    </row>
    <row r="117">
      <c r="A117" s="15" t="n"/>
      <c r="B117" s="17">
        <f>IFERROR(VLOOKUP(A117,Produtos!$A$5:$M$204,2,FALSE),"")</f>
        <v/>
      </c>
      <c r="C117" s="15" t="n"/>
      <c r="D117" s="20" t="n"/>
      <c r="E117" s="20" t="n"/>
      <c r="F117" s="15" t="n"/>
      <c r="G117" s="15" t="n"/>
      <c r="H117" s="17">
        <f>IF(E117="","",E117-TODAY())</f>
        <v/>
      </c>
      <c r="I117" s="17">
        <f>IF(E117="","",IF(E117&lt;TODAY(),"VENCIDO",IF(E117&lt;=TODAY()+7,"VENCE EM 7 DIAS",IF(E117&lt;=TODAY()+30,"VENCE EM 30 DIAS","OK"))))</f>
        <v/>
      </c>
      <c r="J117" s="17">
        <f>IF(A117="","",IF(G117&lt;=0,"SEM ESTOQUE",IF(E117&lt;TODAY(),"VENCIDO",IF(E117&lt;=TODAY()+30,"ATENÇÃO","OK"))))</f>
        <v/>
      </c>
      <c r="K117" s="15" t="n"/>
    </row>
    <row r="118">
      <c r="A118" s="15" t="n"/>
      <c r="B118" s="17">
        <f>IFERROR(VLOOKUP(A118,Produtos!$A$5:$M$204,2,FALSE),"")</f>
        <v/>
      </c>
      <c r="C118" s="15" t="n"/>
      <c r="D118" s="20" t="n"/>
      <c r="E118" s="20" t="n"/>
      <c r="F118" s="15" t="n"/>
      <c r="G118" s="15" t="n"/>
      <c r="H118" s="17">
        <f>IF(E118="","",E118-TODAY())</f>
        <v/>
      </c>
      <c r="I118" s="17">
        <f>IF(E118="","",IF(E118&lt;TODAY(),"VENCIDO",IF(E118&lt;=TODAY()+7,"VENCE EM 7 DIAS",IF(E118&lt;=TODAY()+30,"VENCE EM 30 DIAS","OK"))))</f>
        <v/>
      </c>
      <c r="J118" s="17">
        <f>IF(A118="","",IF(G118&lt;=0,"SEM ESTOQUE",IF(E118&lt;TODAY(),"VENCIDO",IF(E118&lt;=TODAY()+30,"ATENÇÃO","OK"))))</f>
        <v/>
      </c>
      <c r="K118" s="15" t="n"/>
    </row>
    <row r="119">
      <c r="A119" s="15" t="n"/>
      <c r="B119" s="17">
        <f>IFERROR(VLOOKUP(A119,Produtos!$A$5:$M$204,2,FALSE),"")</f>
        <v/>
      </c>
      <c r="C119" s="15" t="n"/>
      <c r="D119" s="20" t="n"/>
      <c r="E119" s="20" t="n"/>
      <c r="F119" s="15" t="n"/>
      <c r="G119" s="15" t="n"/>
      <c r="H119" s="17">
        <f>IF(E119="","",E119-TODAY())</f>
        <v/>
      </c>
      <c r="I119" s="17">
        <f>IF(E119="","",IF(E119&lt;TODAY(),"VENCIDO",IF(E119&lt;=TODAY()+7,"VENCE EM 7 DIAS",IF(E119&lt;=TODAY()+30,"VENCE EM 30 DIAS","OK"))))</f>
        <v/>
      </c>
      <c r="J119" s="17">
        <f>IF(A119="","",IF(G119&lt;=0,"SEM ESTOQUE",IF(E119&lt;TODAY(),"VENCIDO",IF(E119&lt;=TODAY()+30,"ATENÇÃO","OK"))))</f>
        <v/>
      </c>
      <c r="K119" s="15" t="n"/>
    </row>
    <row r="120">
      <c r="A120" s="15" t="n"/>
      <c r="B120" s="17">
        <f>IFERROR(VLOOKUP(A120,Produtos!$A$5:$M$204,2,FALSE),"")</f>
        <v/>
      </c>
      <c r="C120" s="15" t="n"/>
      <c r="D120" s="20" t="n"/>
      <c r="E120" s="20" t="n"/>
      <c r="F120" s="15" t="n"/>
      <c r="G120" s="15" t="n"/>
      <c r="H120" s="17">
        <f>IF(E120="","",E120-TODAY())</f>
        <v/>
      </c>
      <c r="I120" s="17">
        <f>IF(E120="","",IF(E120&lt;TODAY(),"VENCIDO",IF(E120&lt;=TODAY()+7,"VENCE EM 7 DIAS",IF(E120&lt;=TODAY()+30,"VENCE EM 30 DIAS","OK"))))</f>
        <v/>
      </c>
      <c r="J120" s="17">
        <f>IF(A120="","",IF(G120&lt;=0,"SEM ESTOQUE",IF(E120&lt;TODAY(),"VENCIDO",IF(E120&lt;=TODAY()+30,"ATENÇÃO","OK"))))</f>
        <v/>
      </c>
      <c r="K120" s="15" t="n"/>
    </row>
    <row r="121">
      <c r="A121" s="15" t="n"/>
      <c r="B121" s="17">
        <f>IFERROR(VLOOKUP(A121,Produtos!$A$5:$M$204,2,FALSE),"")</f>
        <v/>
      </c>
      <c r="C121" s="15" t="n"/>
      <c r="D121" s="20" t="n"/>
      <c r="E121" s="20" t="n"/>
      <c r="F121" s="15" t="n"/>
      <c r="G121" s="15" t="n"/>
      <c r="H121" s="17">
        <f>IF(E121="","",E121-TODAY())</f>
        <v/>
      </c>
      <c r="I121" s="17">
        <f>IF(E121="","",IF(E121&lt;TODAY(),"VENCIDO",IF(E121&lt;=TODAY()+7,"VENCE EM 7 DIAS",IF(E121&lt;=TODAY()+30,"VENCE EM 30 DIAS","OK"))))</f>
        <v/>
      </c>
      <c r="J121" s="17">
        <f>IF(A121="","",IF(G121&lt;=0,"SEM ESTOQUE",IF(E121&lt;TODAY(),"VENCIDO",IF(E121&lt;=TODAY()+30,"ATENÇÃO","OK"))))</f>
        <v/>
      </c>
      <c r="K121" s="15" t="n"/>
    </row>
    <row r="122">
      <c r="A122" s="15" t="n"/>
      <c r="B122" s="17">
        <f>IFERROR(VLOOKUP(A122,Produtos!$A$5:$M$204,2,FALSE),"")</f>
        <v/>
      </c>
      <c r="C122" s="15" t="n"/>
      <c r="D122" s="20" t="n"/>
      <c r="E122" s="20" t="n"/>
      <c r="F122" s="15" t="n"/>
      <c r="G122" s="15" t="n"/>
      <c r="H122" s="17">
        <f>IF(E122="","",E122-TODAY())</f>
        <v/>
      </c>
      <c r="I122" s="17">
        <f>IF(E122="","",IF(E122&lt;TODAY(),"VENCIDO",IF(E122&lt;=TODAY()+7,"VENCE EM 7 DIAS",IF(E122&lt;=TODAY()+30,"VENCE EM 30 DIAS","OK"))))</f>
        <v/>
      </c>
      <c r="J122" s="17">
        <f>IF(A122="","",IF(G122&lt;=0,"SEM ESTOQUE",IF(E122&lt;TODAY(),"VENCIDO",IF(E122&lt;=TODAY()+30,"ATENÇÃO","OK"))))</f>
        <v/>
      </c>
      <c r="K122" s="15" t="n"/>
    </row>
    <row r="123">
      <c r="A123" s="15" t="n"/>
      <c r="B123" s="17">
        <f>IFERROR(VLOOKUP(A123,Produtos!$A$5:$M$204,2,FALSE),"")</f>
        <v/>
      </c>
      <c r="C123" s="15" t="n"/>
      <c r="D123" s="20" t="n"/>
      <c r="E123" s="20" t="n"/>
      <c r="F123" s="15" t="n"/>
      <c r="G123" s="15" t="n"/>
      <c r="H123" s="17">
        <f>IF(E123="","",E123-TODAY())</f>
        <v/>
      </c>
      <c r="I123" s="17">
        <f>IF(E123="","",IF(E123&lt;TODAY(),"VENCIDO",IF(E123&lt;=TODAY()+7,"VENCE EM 7 DIAS",IF(E123&lt;=TODAY()+30,"VENCE EM 30 DIAS","OK"))))</f>
        <v/>
      </c>
      <c r="J123" s="17">
        <f>IF(A123="","",IF(G123&lt;=0,"SEM ESTOQUE",IF(E123&lt;TODAY(),"VENCIDO",IF(E123&lt;=TODAY()+30,"ATENÇÃO","OK"))))</f>
        <v/>
      </c>
      <c r="K123" s="15" t="n"/>
    </row>
    <row r="124">
      <c r="A124" s="15" t="n"/>
      <c r="B124" s="17">
        <f>IFERROR(VLOOKUP(A124,Produtos!$A$5:$M$204,2,FALSE),"")</f>
        <v/>
      </c>
      <c r="C124" s="15" t="n"/>
      <c r="D124" s="20" t="n"/>
      <c r="E124" s="20" t="n"/>
      <c r="F124" s="15" t="n"/>
      <c r="G124" s="15" t="n"/>
      <c r="H124" s="17">
        <f>IF(E124="","",E124-TODAY())</f>
        <v/>
      </c>
      <c r="I124" s="17">
        <f>IF(E124="","",IF(E124&lt;TODAY(),"VENCIDO",IF(E124&lt;=TODAY()+7,"VENCE EM 7 DIAS",IF(E124&lt;=TODAY()+30,"VENCE EM 30 DIAS","OK"))))</f>
        <v/>
      </c>
      <c r="J124" s="17">
        <f>IF(A124="","",IF(G124&lt;=0,"SEM ESTOQUE",IF(E124&lt;TODAY(),"VENCIDO",IF(E124&lt;=TODAY()+30,"ATENÇÃO","OK"))))</f>
        <v/>
      </c>
      <c r="K124" s="15" t="n"/>
    </row>
    <row r="125">
      <c r="A125" s="15" t="n"/>
      <c r="B125" s="17">
        <f>IFERROR(VLOOKUP(A125,Produtos!$A$5:$M$204,2,FALSE),"")</f>
        <v/>
      </c>
      <c r="C125" s="15" t="n"/>
      <c r="D125" s="20" t="n"/>
      <c r="E125" s="20" t="n"/>
      <c r="F125" s="15" t="n"/>
      <c r="G125" s="15" t="n"/>
      <c r="H125" s="17">
        <f>IF(E125="","",E125-TODAY())</f>
        <v/>
      </c>
      <c r="I125" s="17">
        <f>IF(E125="","",IF(E125&lt;TODAY(),"VENCIDO",IF(E125&lt;=TODAY()+7,"VENCE EM 7 DIAS",IF(E125&lt;=TODAY()+30,"VENCE EM 30 DIAS","OK"))))</f>
        <v/>
      </c>
      <c r="J125" s="17">
        <f>IF(A125="","",IF(G125&lt;=0,"SEM ESTOQUE",IF(E125&lt;TODAY(),"VENCIDO",IF(E125&lt;=TODAY()+30,"ATENÇÃO","OK"))))</f>
        <v/>
      </c>
      <c r="K125" s="15" t="n"/>
    </row>
    <row r="126">
      <c r="A126" s="15" t="n"/>
      <c r="B126" s="17">
        <f>IFERROR(VLOOKUP(A126,Produtos!$A$5:$M$204,2,FALSE),"")</f>
        <v/>
      </c>
      <c r="C126" s="15" t="n"/>
      <c r="D126" s="20" t="n"/>
      <c r="E126" s="20" t="n"/>
      <c r="F126" s="15" t="n"/>
      <c r="G126" s="15" t="n"/>
      <c r="H126" s="17">
        <f>IF(E126="","",E126-TODAY())</f>
        <v/>
      </c>
      <c r="I126" s="17">
        <f>IF(E126="","",IF(E126&lt;TODAY(),"VENCIDO",IF(E126&lt;=TODAY()+7,"VENCE EM 7 DIAS",IF(E126&lt;=TODAY()+30,"VENCE EM 30 DIAS","OK"))))</f>
        <v/>
      </c>
      <c r="J126" s="17">
        <f>IF(A126="","",IF(G126&lt;=0,"SEM ESTOQUE",IF(E126&lt;TODAY(),"VENCIDO",IF(E126&lt;=TODAY()+30,"ATENÇÃO","OK"))))</f>
        <v/>
      </c>
      <c r="K126" s="15" t="n"/>
    </row>
    <row r="127">
      <c r="A127" s="15" t="n"/>
      <c r="B127" s="17">
        <f>IFERROR(VLOOKUP(A127,Produtos!$A$5:$M$204,2,FALSE),"")</f>
        <v/>
      </c>
      <c r="C127" s="15" t="n"/>
      <c r="D127" s="20" t="n"/>
      <c r="E127" s="20" t="n"/>
      <c r="F127" s="15" t="n"/>
      <c r="G127" s="15" t="n"/>
      <c r="H127" s="17">
        <f>IF(E127="","",E127-TODAY())</f>
        <v/>
      </c>
      <c r="I127" s="17">
        <f>IF(E127="","",IF(E127&lt;TODAY(),"VENCIDO",IF(E127&lt;=TODAY()+7,"VENCE EM 7 DIAS",IF(E127&lt;=TODAY()+30,"VENCE EM 30 DIAS","OK"))))</f>
        <v/>
      </c>
      <c r="J127" s="17">
        <f>IF(A127="","",IF(G127&lt;=0,"SEM ESTOQUE",IF(E127&lt;TODAY(),"VENCIDO",IF(E127&lt;=TODAY()+30,"ATENÇÃO","OK"))))</f>
        <v/>
      </c>
      <c r="K127" s="15" t="n"/>
    </row>
    <row r="128">
      <c r="A128" s="15" t="n"/>
      <c r="B128" s="17">
        <f>IFERROR(VLOOKUP(A128,Produtos!$A$5:$M$204,2,FALSE),"")</f>
        <v/>
      </c>
      <c r="C128" s="15" t="n"/>
      <c r="D128" s="20" t="n"/>
      <c r="E128" s="20" t="n"/>
      <c r="F128" s="15" t="n"/>
      <c r="G128" s="15" t="n"/>
      <c r="H128" s="17">
        <f>IF(E128="","",E128-TODAY())</f>
        <v/>
      </c>
      <c r="I128" s="17">
        <f>IF(E128="","",IF(E128&lt;TODAY(),"VENCIDO",IF(E128&lt;=TODAY()+7,"VENCE EM 7 DIAS",IF(E128&lt;=TODAY()+30,"VENCE EM 30 DIAS","OK"))))</f>
        <v/>
      </c>
      <c r="J128" s="17">
        <f>IF(A128="","",IF(G128&lt;=0,"SEM ESTOQUE",IF(E128&lt;TODAY(),"VENCIDO",IF(E128&lt;=TODAY()+30,"ATENÇÃO","OK"))))</f>
        <v/>
      </c>
      <c r="K128" s="15" t="n"/>
    </row>
    <row r="129">
      <c r="A129" s="15" t="n"/>
      <c r="B129" s="17">
        <f>IFERROR(VLOOKUP(A129,Produtos!$A$5:$M$204,2,FALSE),"")</f>
        <v/>
      </c>
      <c r="C129" s="15" t="n"/>
      <c r="D129" s="20" t="n"/>
      <c r="E129" s="20" t="n"/>
      <c r="F129" s="15" t="n"/>
      <c r="G129" s="15" t="n"/>
      <c r="H129" s="17">
        <f>IF(E129="","",E129-TODAY())</f>
        <v/>
      </c>
      <c r="I129" s="17">
        <f>IF(E129="","",IF(E129&lt;TODAY(),"VENCIDO",IF(E129&lt;=TODAY()+7,"VENCE EM 7 DIAS",IF(E129&lt;=TODAY()+30,"VENCE EM 30 DIAS","OK"))))</f>
        <v/>
      </c>
      <c r="J129" s="17">
        <f>IF(A129="","",IF(G129&lt;=0,"SEM ESTOQUE",IF(E129&lt;TODAY(),"VENCIDO",IF(E129&lt;=TODAY()+30,"ATENÇÃO","OK"))))</f>
        <v/>
      </c>
      <c r="K129" s="15" t="n"/>
    </row>
    <row r="130">
      <c r="A130" s="15" t="n"/>
      <c r="B130" s="17">
        <f>IFERROR(VLOOKUP(A130,Produtos!$A$5:$M$204,2,FALSE),"")</f>
        <v/>
      </c>
      <c r="C130" s="15" t="n"/>
      <c r="D130" s="20" t="n"/>
      <c r="E130" s="20" t="n"/>
      <c r="F130" s="15" t="n"/>
      <c r="G130" s="15" t="n"/>
      <c r="H130" s="17">
        <f>IF(E130="","",E130-TODAY())</f>
        <v/>
      </c>
      <c r="I130" s="17">
        <f>IF(E130="","",IF(E130&lt;TODAY(),"VENCIDO",IF(E130&lt;=TODAY()+7,"VENCE EM 7 DIAS",IF(E130&lt;=TODAY()+30,"VENCE EM 30 DIAS","OK"))))</f>
        <v/>
      </c>
      <c r="J130" s="17">
        <f>IF(A130="","",IF(G130&lt;=0,"SEM ESTOQUE",IF(E130&lt;TODAY(),"VENCIDO",IF(E130&lt;=TODAY()+30,"ATENÇÃO","OK"))))</f>
        <v/>
      </c>
      <c r="K130" s="15" t="n"/>
    </row>
    <row r="131">
      <c r="A131" s="15" t="n"/>
      <c r="B131" s="17">
        <f>IFERROR(VLOOKUP(A131,Produtos!$A$5:$M$204,2,FALSE),"")</f>
        <v/>
      </c>
      <c r="C131" s="15" t="n"/>
      <c r="D131" s="20" t="n"/>
      <c r="E131" s="20" t="n"/>
      <c r="F131" s="15" t="n"/>
      <c r="G131" s="15" t="n"/>
      <c r="H131" s="17">
        <f>IF(E131="","",E131-TODAY())</f>
        <v/>
      </c>
      <c r="I131" s="17">
        <f>IF(E131="","",IF(E131&lt;TODAY(),"VENCIDO",IF(E131&lt;=TODAY()+7,"VENCE EM 7 DIAS",IF(E131&lt;=TODAY()+30,"VENCE EM 30 DIAS","OK"))))</f>
        <v/>
      </c>
      <c r="J131" s="17">
        <f>IF(A131="","",IF(G131&lt;=0,"SEM ESTOQUE",IF(E131&lt;TODAY(),"VENCIDO",IF(E131&lt;=TODAY()+30,"ATENÇÃO","OK"))))</f>
        <v/>
      </c>
      <c r="K131" s="15" t="n"/>
    </row>
    <row r="132">
      <c r="A132" s="15" t="n"/>
      <c r="B132" s="17">
        <f>IFERROR(VLOOKUP(A132,Produtos!$A$5:$M$204,2,FALSE),"")</f>
        <v/>
      </c>
      <c r="C132" s="15" t="n"/>
      <c r="D132" s="20" t="n"/>
      <c r="E132" s="20" t="n"/>
      <c r="F132" s="15" t="n"/>
      <c r="G132" s="15" t="n"/>
      <c r="H132" s="17">
        <f>IF(E132="","",E132-TODAY())</f>
        <v/>
      </c>
      <c r="I132" s="17">
        <f>IF(E132="","",IF(E132&lt;TODAY(),"VENCIDO",IF(E132&lt;=TODAY()+7,"VENCE EM 7 DIAS",IF(E132&lt;=TODAY()+30,"VENCE EM 30 DIAS","OK"))))</f>
        <v/>
      </c>
      <c r="J132" s="17">
        <f>IF(A132="","",IF(G132&lt;=0,"SEM ESTOQUE",IF(E132&lt;TODAY(),"VENCIDO",IF(E132&lt;=TODAY()+30,"ATENÇÃO","OK"))))</f>
        <v/>
      </c>
      <c r="K132" s="15" t="n"/>
    </row>
    <row r="133">
      <c r="A133" s="15" t="n"/>
      <c r="B133" s="17">
        <f>IFERROR(VLOOKUP(A133,Produtos!$A$5:$M$204,2,FALSE),"")</f>
        <v/>
      </c>
      <c r="C133" s="15" t="n"/>
      <c r="D133" s="20" t="n"/>
      <c r="E133" s="20" t="n"/>
      <c r="F133" s="15" t="n"/>
      <c r="G133" s="15" t="n"/>
      <c r="H133" s="17">
        <f>IF(E133="","",E133-TODAY())</f>
        <v/>
      </c>
      <c r="I133" s="17">
        <f>IF(E133="","",IF(E133&lt;TODAY(),"VENCIDO",IF(E133&lt;=TODAY()+7,"VENCE EM 7 DIAS",IF(E133&lt;=TODAY()+30,"VENCE EM 30 DIAS","OK"))))</f>
        <v/>
      </c>
      <c r="J133" s="17">
        <f>IF(A133="","",IF(G133&lt;=0,"SEM ESTOQUE",IF(E133&lt;TODAY(),"VENCIDO",IF(E133&lt;=TODAY()+30,"ATENÇÃO","OK"))))</f>
        <v/>
      </c>
      <c r="K133" s="15" t="n"/>
    </row>
    <row r="134">
      <c r="A134" s="15" t="n"/>
      <c r="B134" s="17">
        <f>IFERROR(VLOOKUP(A134,Produtos!$A$5:$M$204,2,FALSE),"")</f>
        <v/>
      </c>
      <c r="C134" s="15" t="n"/>
      <c r="D134" s="20" t="n"/>
      <c r="E134" s="20" t="n"/>
      <c r="F134" s="15" t="n"/>
      <c r="G134" s="15" t="n"/>
      <c r="H134" s="17">
        <f>IF(E134="","",E134-TODAY())</f>
        <v/>
      </c>
      <c r="I134" s="17">
        <f>IF(E134="","",IF(E134&lt;TODAY(),"VENCIDO",IF(E134&lt;=TODAY()+7,"VENCE EM 7 DIAS",IF(E134&lt;=TODAY()+30,"VENCE EM 30 DIAS","OK"))))</f>
        <v/>
      </c>
      <c r="J134" s="17">
        <f>IF(A134="","",IF(G134&lt;=0,"SEM ESTOQUE",IF(E134&lt;TODAY(),"VENCIDO",IF(E134&lt;=TODAY()+30,"ATENÇÃO","OK"))))</f>
        <v/>
      </c>
      <c r="K134" s="15" t="n"/>
    </row>
    <row r="135">
      <c r="A135" s="15" t="n"/>
      <c r="B135" s="17">
        <f>IFERROR(VLOOKUP(A135,Produtos!$A$5:$M$204,2,FALSE),"")</f>
        <v/>
      </c>
      <c r="C135" s="15" t="n"/>
      <c r="D135" s="20" t="n"/>
      <c r="E135" s="20" t="n"/>
      <c r="F135" s="15" t="n"/>
      <c r="G135" s="15" t="n"/>
      <c r="H135" s="17">
        <f>IF(E135="","",E135-TODAY())</f>
        <v/>
      </c>
      <c r="I135" s="17">
        <f>IF(E135="","",IF(E135&lt;TODAY(),"VENCIDO",IF(E135&lt;=TODAY()+7,"VENCE EM 7 DIAS",IF(E135&lt;=TODAY()+30,"VENCE EM 30 DIAS","OK"))))</f>
        <v/>
      </c>
      <c r="J135" s="17">
        <f>IF(A135="","",IF(G135&lt;=0,"SEM ESTOQUE",IF(E135&lt;TODAY(),"VENCIDO",IF(E135&lt;=TODAY()+30,"ATENÇÃO","OK"))))</f>
        <v/>
      </c>
      <c r="K135" s="15" t="n"/>
    </row>
    <row r="136">
      <c r="A136" s="15" t="n"/>
      <c r="B136" s="17">
        <f>IFERROR(VLOOKUP(A136,Produtos!$A$5:$M$204,2,FALSE),"")</f>
        <v/>
      </c>
      <c r="C136" s="15" t="n"/>
      <c r="D136" s="20" t="n"/>
      <c r="E136" s="20" t="n"/>
      <c r="F136" s="15" t="n"/>
      <c r="G136" s="15" t="n"/>
      <c r="H136" s="17">
        <f>IF(E136="","",E136-TODAY())</f>
        <v/>
      </c>
      <c r="I136" s="17">
        <f>IF(E136="","",IF(E136&lt;TODAY(),"VENCIDO",IF(E136&lt;=TODAY()+7,"VENCE EM 7 DIAS",IF(E136&lt;=TODAY()+30,"VENCE EM 30 DIAS","OK"))))</f>
        <v/>
      </c>
      <c r="J136" s="17">
        <f>IF(A136="","",IF(G136&lt;=0,"SEM ESTOQUE",IF(E136&lt;TODAY(),"VENCIDO",IF(E136&lt;=TODAY()+30,"ATENÇÃO","OK"))))</f>
        <v/>
      </c>
      <c r="K136" s="15" t="n"/>
    </row>
    <row r="137">
      <c r="A137" s="15" t="n"/>
      <c r="B137" s="17">
        <f>IFERROR(VLOOKUP(A137,Produtos!$A$5:$M$204,2,FALSE),"")</f>
        <v/>
      </c>
      <c r="C137" s="15" t="n"/>
      <c r="D137" s="20" t="n"/>
      <c r="E137" s="20" t="n"/>
      <c r="F137" s="15" t="n"/>
      <c r="G137" s="15" t="n"/>
      <c r="H137" s="17">
        <f>IF(E137="","",E137-TODAY())</f>
        <v/>
      </c>
      <c r="I137" s="17">
        <f>IF(E137="","",IF(E137&lt;TODAY(),"VENCIDO",IF(E137&lt;=TODAY()+7,"VENCE EM 7 DIAS",IF(E137&lt;=TODAY()+30,"VENCE EM 30 DIAS","OK"))))</f>
        <v/>
      </c>
      <c r="J137" s="17">
        <f>IF(A137="","",IF(G137&lt;=0,"SEM ESTOQUE",IF(E137&lt;TODAY(),"VENCIDO",IF(E137&lt;=TODAY()+30,"ATENÇÃO","OK"))))</f>
        <v/>
      </c>
      <c r="K137" s="15" t="n"/>
    </row>
    <row r="138">
      <c r="A138" s="15" t="n"/>
      <c r="B138" s="17">
        <f>IFERROR(VLOOKUP(A138,Produtos!$A$5:$M$204,2,FALSE),"")</f>
        <v/>
      </c>
      <c r="C138" s="15" t="n"/>
      <c r="D138" s="20" t="n"/>
      <c r="E138" s="20" t="n"/>
      <c r="F138" s="15" t="n"/>
      <c r="G138" s="15" t="n"/>
      <c r="H138" s="17">
        <f>IF(E138="","",E138-TODAY())</f>
        <v/>
      </c>
      <c r="I138" s="17">
        <f>IF(E138="","",IF(E138&lt;TODAY(),"VENCIDO",IF(E138&lt;=TODAY()+7,"VENCE EM 7 DIAS",IF(E138&lt;=TODAY()+30,"VENCE EM 30 DIAS","OK"))))</f>
        <v/>
      </c>
      <c r="J138" s="17">
        <f>IF(A138="","",IF(G138&lt;=0,"SEM ESTOQUE",IF(E138&lt;TODAY(),"VENCIDO",IF(E138&lt;=TODAY()+30,"ATENÇÃO","OK"))))</f>
        <v/>
      </c>
      <c r="K138" s="15" t="n"/>
    </row>
    <row r="139">
      <c r="A139" s="15" t="n"/>
      <c r="B139" s="17">
        <f>IFERROR(VLOOKUP(A139,Produtos!$A$5:$M$204,2,FALSE),"")</f>
        <v/>
      </c>
      <c r="C139" s="15" t="n"/>
      <c r="D139" s="20" t="n"/>
      <c r="E139" s="20" t="n"/>
      <c r="F139" s="15" t="n"/>
      <c r="G139" s="15" t="n"/>
      <c r="H139" s="17">
        <f>IF(E139="","",E139-TODAY())</f>
        <v/>
      </c>
      <c r="I139" s="17">
        <f>IF(E139="","",IF(E139&lt;TODAY(),"VENCIDO",IF(E139&lt;=TODAY()+7,"VENCE EM 7 DIAS",IF(E139&lt;=TODAY()+30,"VENCE EM 30 DIAS","OK"))))</f>
        <v/>
      </c>
      <c r="J139" s="17">
        <f>IF(A139="","",IF(G139&lt;=0,"SEM ESTOQUE",IF(E139&lt;TODAY(),"VENCIDO",IF(E139&lt;=TODAY()+30,"ATENÇÃO","OK"))))</f>
        <v/>
      </c>
      <c r="K139" s="15" t="n"/>
    </row>
    <row r="140">
      <c r="A140" s="15" t="n"/>
      <c r="B140" s="17">
        <f>IFERROR(VLOOKUP(A140,Produtos!$A$5:$M$204,2,FALSE),"")</f>
        <v/>
      </c>
      <c r="C140" s="15" t="n"/>
      <c r="D140" s="20" t="n"/>
      <c r="E140" s="20" t="n"/>
      <c r="F140" s="15" t="n"/>
      <c r="G140" s="15" t="n"/>
      <c r="H140" s="17">
        <f>IF(E140="","",E140-TODAY())</f>
        <v/>
      </c>
      <c r="I140" s="17">
        <f>IF(E140="","",IF(E140&lt;TODAY(),"VENCIDO",IF(E140&lt;=TODAY()+7,"VENCE EM 7 DIAS",IF(E140&lt;=TODAY()+30,"VENCE EM 30 DIAS","OK"))))</f>
        <v/>
      </c>
      <c r="J140" s="17">
        <f>IF(A140="","",IF(G140&lt;=0,"SEM ESTOQUE",IF(E140&lt;TODAY(),"VENCIDO",IF(E140&lt;=TODAY()+30,"ATENÇÃO","OK"))))</f>
        <v/>
      </c>
      <c r="K140" s="15" t="n"/>
    </row>
    <row r="141">
      <c r="A141" s="15" t="n"/>
      <c r="B141" s="17">
        <f>IFERROR(VLOOKUP(A141,Produtos!$A$5:$M$204,2,FALSE),"")</f>
        <v/>
      </c>
      <c r="C141" s="15" t="n"/>
      <c r="D141" s="20" t="n"/>
      <c r="E141" s="20" t="n"/>
      <c r="F141" s="15" t="n"/>
      <c r="G141" s="15" t="n"/>
      <c r="H141" s="17">
        <f>IF(E141="","",E141-TODAY())</f>
        <v/>
      </c>
      <c r="I141" s="17">
        <f>IF(E141="","",IF(E141&lt;TODAY(),"VENCIDO",IF(E141&lt;=TODAY()+7,"VENCE EM 7 DIAS",IF(E141&lt;=TODAY()+30,"VENCE EM 30 DIAS","OK"))))</f>
        <v/>
      </c>
      <c r="J141" s="17">
        <f>IF(A141="","",IF(G141&lt;=0,"SEM ESTOQUE",IF(E141&lt;TODAY(),"VENCIDO",IF(E141&lt;=TODAY()+30,"ATENÇÃO","OK"))))</f>
        <v/>
      </c>
      <c r="K141" s="15" t="n"/>
    </row>
    <row r="142">
      <c r="A142" s="15" t="n"/>
      <c r="B142" s="17">
        <f>IFERROR(VLOOKUP(A142,Produtos!$A$5:$M$204,2,FALSE),"")</f>
        <v/>
      </c>
      <c r="C142" s="15" t="n"/>
      <c r="D142" s="20" t="n"/>
      <c r="E142" s="20" t="n"/>
      <c r="F142" s="15" t="n"/>
      <c r="G142" s="15" t="n"/>
      <c r="H142" s="17">
        <f>IF(E142="","",E142-TODAY())</f>
        <v/>
      </c>
      <c r="I142" s="17">
        <f>IF(E142="","",IF(E142&lt;TODAY(),"VENCIDO",IF(E142&lt;=TODAY()+7,"VENCE EM 7 DIAS",IF(E142&lt;=TODAY()+30,"VENCE EM 30 DIAS","OK"))))</f>
        <v/>
      </c>
      <c r="J142" s="17">
        <f>IF(A142="","",IF(G142&lt;=0,"SEM ESTOQUE",IF(E142&lt;TODAY(),"VENCIDO",IF(E142&lt;=TODAY()+30,"ATENÇÃO","OK"))))</f>
        <v/>
      </c>
      <c r="K142" s="15" t="n"/>
    </row>
    <row r="143">
      <c r="A143" s="15" t="n"/>
      <c r="B143" s="17">
        <f>IFERROR(VLOOKUP(A143,Produtos!$A$5:$M$204,2,FALSE),"")</f>
        <v/>
      </c>
      <c r="C143" s="15" t="n"/>
      <c r="D143" s="20" t="n"/>
      <c r="E143" s="20" t="n"/>
      <c r="F143" s="15" t="n"/>
      <c r="G143" s="15" t="n"/>
      <c r="H143" s="17">
        <f>IF(E143="","",E143-TODAY())</f>
        <v/>
      </c>
      <c r="I143" s="17">
        <f>IF(E143="","",IF(E143&lt;TODAY(),"VENCIDO",IF(E143&lt;=TODAY()+7,"VENCE EM 7 DIAS",IF(E143&lt;=TODAY()+30,"VENCE EM 30 DIAS","OK"))))</f>
        <v/>
      </c>
      <c r="J143" s="17">
        <f>IF(A143="","",IF(G143&lt;=0,"SEM ESTOQUE",IF(E143&lt;TODAY(),"VENCIDO",IF(E143&lt;=TODAY()+30,"ATENÇÃO","OK"))))</f>
        <v/>
      </c>
      <c r="K143" s="15" t="n"/>
    </row>
    <row r="144">
      <c r="A144" s="15" t="n"/>
      <c r="B144" s="17">
        <f>IFERROR(VLOOKUP(A144,Produtos!$A$5:$M$204,2,FALSE),"")</f>
        <v/>
      </c>
      <c r="C144" s="15" t="n"/>
      <c r="D144" s="20" t="n"/>
      <c r="E144" s="20" t="n"/>
      <c r="F144" s="15" t="n"/>
      <c r="G144" s="15" t="n"/>
      <c r="H144" s="17">
        <f>IF(E144="","",E144-TODAY())</f>
        <v/>
      </c>
      <c r="I144" s="17">
        <f>IF(E144="","",IF(E144&lt;TODAY(),"VENCIDO",IF(E144&lt;=TODAY()+7,"VENCE EM 7 DIAS",IF(E144&lt;=TODAY()+30,"VENCE EM 30 DIAS","OK"))))</f>
        <v/>
      </c>
      <c r="J144" s="17">
        <f>IF(A144="","",IF(G144&lt;=0,"SEM ESTOQUE",IF(E144&lt;TODAY(),"VENCIDO",IF(E144&lt;=TODAY()+30,"ATENÇÃO","OK"))))</f>
        <v/>
      </c>
      <c r="K144" s="15" t="n"/>
    </row>
    <row r="145">
      <c r="A145" s="15" t="n"/>
      <c r="B145" s="17">
        <f>IFERROR(VLOOKUP(A145,Produtos!$A$5:$M$204,2,FALSE),"")</f>
        <v/>
      </c>
      <c r="C145" s="15" t="n"/>
      <c r="D145" s="20" t="n"/>
      <c r="E145" s="20" t="n"/>
      <c r="F145" s="15" t="n"/>
      <c r="G145" s="15" t="n"/>
      <c r="H145" s="17">
        <f>IF(E145="","",E145-TODAY())</f>
        <v/>
      </c>
      <c r="I145" s="17">
        <f>IF(E145="","",IF(E145&lt;TODAY(),"VENCIDO",IF(E145&lt;=TODAY()+7,"VENCE EM 7 DIAS",IF(E145&lt;=TODAY()+30,"VENCE EM 30 DIAS","OK"))))</f>
        <v/>
      </c>
      <c r="J145" s="17">
        <f>IF(A145="","",IF(G145&lt;=0,"SEM ESTOQUE",IF(E145&lt;TODAY(),"VENCIDO",IF(E145&lt;=TODAY()+30,"ATENÇÃO","OK"))))</f>
        <v/>
      </c>
      <c r="K145" s="15" t="n"/>
    </row>
    <row r="146">
      <c r="A146" s="15" t="n"/>
      <c r="B146" s="17">
        <f>IFERROR(VLOOKUP(A146,Produtos!$A$5:$M$204,2,FALSE),"")</f>
        <v/>
      </c>
      <c r="C146" s="15" t="n"/>
      <c r="D146" s="20" t="n"/>
      <c r="E146" s="20" t="n"/>
      <c r="F146" s="15" t="n"/>
      <c r="G146" s="15" t="n"/>
      <c r="H146" s="17">
        <f>IF(E146="","",E146-TODAY())</f>
        <v/>
      </c>
      <c r="I146" s="17">
        <f>IF(E146="","",IF(E146&lt;TODAY(),"VENCIDO",IF(E146&lt;=TODAY()+7,"VENCE EM 7 DIAS",IF(E146&lt;=TODAY()+30,"VENCE EM 30 DIAS","OK"))))</f>
        <v/>
      </c>
      <c r="J146" s="17">
        <f>IF(A146="","",IF(G146&lt;=0,"SEM ESTOQUE",IF(E146&lt;TODAY(),"VENCIDO",IF(E146&lt;=TODAY()+30,"ATENÇÃO","OK"))))</f>
        <v/>
      </c>
      <c r="K146" s="15" t="n"/>
    </row>
    <row r="147">
      <c r="A147" s="15" t="n"/>
      <c r="B147" s="17">
        <f>IFERROR(VLOOKUP(A147,Produtos!$A$5:$M$204,2,FALSE),"")</f>
        <v/>
      </c>
      <c r="C147" s="15" t="n"/>
      <c r="D147" s="20" t="n"/>
      <c r="E147" s="20" t="n"/>
      <c r="F147" s="15" t="n"/>
      <c r="G147" s="15" t="n"/>
      <c r="H147" s="17">
        <f>IF(E147="","",E147-TODAY())</f>
        <v/>
      </c>
      <c r="I147" s="17">
        <f>IF(E147="","",IF(E147&lt;TODAY(),"VENCIDO",IF(E147&lt;=TODAY()+7,"VENCE EM 7 DIAS",IF(E147&lt;=TODAY()+30,"VENCE EM 30 DIAS","OK"))))</f>
        <v/>
      </c>
      <c r="J147" s="17">
        <f>IF(A147="","",IF(G147&lt;=0,"SEM ESTOQUE",IF(E147&lt;TODAY(),"VENCIDO",IF(E147&lt;=TODAY()+30,"ATENÇÃO","OK"))))</f>
        <v/>
      </c>
      <c r="K147" s="15" t="n"/>
    </row>
    <row r="148">
      <c r="A148" s="15" t="n"/>
      <c r="B148" s="17">
        <f>IFERROR(VLOOKUP(A148,Produtos!$A$5:$M$204,2,FALSE),"")</f>
        <v/>
      </c>
      <c r="C148" s="15" t="n"/>
      <c r="D148" s="20" t="n"/>
      <c r="E148" s="20" t="n"/>
      <c r="F148" s="15" t="n"/>
      <c r="G148" s="15" t="n"/>
      <c r="H148" s="17">
        <f>IF(E148="","",E148-TODAY())</f>
        <v/>
      </c>
      <c r="I148" s="17">
        <f>IF(E148="","",IF(E148&lt;TODAY(),"VENCIDO",IF(E148&lt;=TODAY()+7,"VENCE EM 7 DIAS",IF(E148&lt;=TODAY()+30,"VENCE EM 30 DIAS","OK"))))</f>
        <v/>
      </c>
      <c r="J148" s="17">
        <f>IF(A148="","",IF(G148&lt;=0,"SEM ESTOQUE",IF(E148&lt;TODAY(),"VENCIDO",IF(E148&lt;=TODAY()+30,"ATENÇÃO","OK"))))</f>
        <v/>
      </c>
      <c r="K148" s="15" t="n"/>
    </row>
    <row r="149">
      <c r="A149" s="15" t="n"/>
      <c r="B149" s="17">
        <f>IFERROR(VLOOKUP(A149,Produtos!$A$5:$M$204,2,FALSE),"")</f>
        <v/>
      </c>
      <c r="C149" s="15" t="n"/>
      <c r="D149" s="20" t="n"/>
      <c r="E149" s="20" t="n"/>
      <c r="F149" s="15" t="n"/>
      <c r="G149" s="15" t="n"/>
      <c r="H149" s="17">
        <f>IF(E149="","",E149-TODAY())</f>
        <v/>
      </c>
      <c r="I149" s="17">
        <f>IF(E149="","",IF(E149&lt;TODAY(),"VENCIDO",IF(E149&lt;=TODAY()+7,"VENCE EM 7 DIAS",IF(E149&lt;=TODAY()+30,"VENCE EM 30 DIAS","OK"))))</f>
        <v/>
      </c>
      <c r="J149" s="17">
        <f>IF(A149="","",IF(G149&lt;=0,"SEM ESTOQUE",IF(E149&lt;TODAY(),"VENCIDO",IF(E149&lt;=TODAY()+30,"ATENÇÃO","OK"))))</f>
        <v/>
      </c>
      <c r="K149" s="15" t="n"/>
    </row>
    <row r="150">
      <c r="A150" s="15" t="n"/>
      <c r="B150" s="17">
        <f>IFERROR(VLOOKUP(A150,Produtos!$A$5:$M$204,2,FALSE),"")</f>
        <v/>
      </c>
      <c r="C150" s="15" t="n"/>
      <c r="D150" s="20" t="n"/>
      <c r="E150" s="20" t="n"/>
      <c r="F150" s="15" t="n"/>
      <c r="G150" s="15" t="n"/>
      <c r="H150" s="17">
        <f>IF(E150="","",E150-TODAY())</f>
        <v/>
      </c>
      <c r="I150" s="17">
        <f>IF(E150="","",IF(E150&lt;TODAY(),"VENCIDO",IF(E150&lt;=TODAY()+7,"VENCE EM 7 DIAS",IF(E150&lt;=TODAY()+30,"VENCE EM 30 DIAS","OK"))))</f>
        <v/>
      </c>
      <c r="J150" s="17">
        <f>IF(A150="","",IF(G150&lt;=0,"SEM ESTOQUE",IF(E150&lt;TODAY(),"VENCIDO",IF(E150&lt;=TODAY()+30,"ATENÇÃO","OK"))))</f>
        <v/>
      </c>
      <c r="K150" s="15" t="n"/>
    </row>
    <row r="151">
      <c r="A151" s="15" t="n"/>
      <c r="B151" s="17">
        <f>IFERROR(VLOOKUP(A151,Produtos!$A$5:$M$204,2,FALSE),"")</f>
        <v/>
      </c>
      <c r="C151" s="15" t="n"/>
      <c r="D151" s="20" t="n"/>
      <c r="E151" s="20" t="n"/>
      <c r="F151" s="15" t="n"/>
      <c r="G151" s="15" t="n"/>
      <c r="H151" s="17">
        <f>IF(E151="","",E151-TODAY())</f>
        <v/>
      </c>
      <c r="I151" s="17">
        <f>IF(E151="","",IF(E151&lt;TODAY(),"VENCIDO",IF(E151&lt;=TODAY()+7,"VENCE EM 7 DIAS",IF(E151&lt;=TODAY()+30,"VENCE EM 30 DIAS","OK"))))</f>
        <v/>
      </c>
      <c r="J151" s="17">
        <f>IF(A151="","",IF(G151&lt;=0,"SEM ESTOQUE",IF(E151&lt;TODAY(),"VENCIDO",IF(E151&lt;=TODAY()+30,"ATENÇÃO","OK"))))</f>
        <v/>
      </c>
      <c r="K151" s="15" t="n"/>
    </row>
    <row r="152">
      <c r="A152" s="15" t="n"/>
      <c r="B152" s="17">
        <f>IFERROR(VLOOKUP(A152,Produtos!$A$5:$M$204,2,FALSE),"")</f>
        <v/>
      </c>
      <c r="C152" s="15" t="n"/>
      <c r="D152" s="20" t="n"/>
      <c r="E152" s="20" t="n"/>
      <c r="F152" s="15" t="n"/>
      <c r="G152" s="15" t="n"/>
      <c r="H152" s="17">
        <f>IF(E152="","",E152-TODAY())</f>
        <v/>
      </c>
      <c r="I152" s="17">
        <f>IF(E152="","",IF(E152&lt;TODAY(),"VENCIDO",IF(E152&lt;=TODAY()+7,"VENCE EM 7 DIAS",IF(E152&lt;=TODAY()+30,"VENCE EM 30 DIAS","OK"))))</f>
        <v/>
      </c>
      <c r="J152" s="17">
        <f>IF(A152="","",IF(G152&lt;=0,"SEM ESTOQUE",IF(E152&lt;TODAY(),"VENCIDO",IF(E152&lt;=TODAY()+30,"ATENÇÃO","OK"))))</f>
        <v/>
      </c>
      <c r="K152" s="15" t="n"/>
    </row>
    <row r="153">
      <c r="A153" s="15" t="n"/>
      <c r="B153" s="17">
        <f>IFERROR(VLOOKUP(A153,Produtos!$A$5:$M$204,2,FALSE),"")</f>
        <v/>
      </c>
      <c r="C153" s="15" t="n"/>
      <c r="D153" s="20" t="n"/>
      <c r="E153" s="20" t="n"/>
      <c r="F153" s="15" t="n"/>
      <c r="G153" s="15" t="n"/>
      <c r="H153" s="17">
        <f>IF(E153="","",E153-TODAY())</f>
        <v/>
      </c>
      <c r="I153" s="17">
        <f>IF(E153="","",IF(E153&lt;TODAY(),"VENCIDO",IF(E153&lt;=TODAY()+7,"VENCE EM 7 DIAS",IF(E153&lt;=TODAY()+30,"VENCE EM 30 DIAS","OK"))))</f>
        <v/>
      </c>
      <c r="J153" s="17">
        <f>IF(A153="","",IF(G153&lt;=0,"SEM ESTOQUE",IF(E153&lt;TODAY(),"VENCIDO",IF(E153&lt;=TODAY()+30,"ATENÇÃO","OK"))))</f>
        <v/>
      </c>
      <c r="K153" s="15" t="n"/>
    </row>
    <row r="154">
      <c r="A154" s="15" t="n"/>
      <c r="B154" s="17">
        <f>IFERROR(VLOOKUP(A154,Produtos!$A$5:$M$204,2,FALSE),"")</f>
        <v/>
      </c>
      <c r="C154" s="15" t="n"/>
      <c r="D154" s="20" t="n"/>
      <c r="E154" s="20" t="n"/>
      <c r="F154" s="15" t="n"/>
      <c r="G154" s="15" t="n"/>
      <c r="H154" s="17">
        <f>IF(E154="","",E154-TODAY())</f>
        <v/>
      </c>
      <c r="I154" s="17">
        <f>IF(E154="","",IF(E154&lt;TODAY(),"VENCIDO",IF(E154&lt;=TODAY()+7,"VENCE EM 7 DIAS",IF(E154&lt;=TODAY()+30,"VENCE EM 30 DIAS","OK"))))</f>
        <v/>
      </c>
      <c r="J154" s="17">
        <f>IF(A154="","",IF(G154&lt;=0,"SEM ESTOQUE",IF(E154&lt;TODAY(),"VENCIDO",IF(E154&lt;=TODAY()+30,"ATENÇÃO","OK"))))</f>
        <v/>
      </c>
      <c r="K154" s="15" t="n"/>
    </row>
    <row r="155">
      <c r="A155" s="15" t="n"/>
      <c r="B155" s="17">
        <f>IFERROR(VLOOKUP(A155,Produtos!$A$5:$M$204,2,FALSE),"")</f>
        <v/>
      </c>
      <c r="C155" s="15" t="n"/>
      <c r="D155" s="20" t="n"/>
      <c r="E155" s="20" t="n"/>
      <c r="F155" s="15" t="n"/>
      <c r="G155" s="15" t="n"/>
      <c r="H155" s="17">
        <f>IF(E155="","",E155-TODAY())</f>
        <v/>
      </c>
      <c r="I155" s="17">
        <f>IF(E155="","",IF(E155&lt;TODAY(),"VENCIDO",IF(E155&lt;=TODAY()+7,"VENCE EM 7 DIAS",IF(E155&lt;=TODAY()+30,"VENCE EM 30 DIAS","OK"))))</f>
        <v/>
      </c>
      <c r="J155" s="17">
        <f>IF(A155="","",IF(G155&lt;=0,"SEM ESTOQUE",IF(E155&lt;TODAY(),"VENCIDO",IF(E155&lt;=TODAY()+30,"ATENÇÃO","OK"))))</f>
        <v/>
      </c>
      <c r="K155" s="15" t="n"/>
    </row>
    <row r="156">
      <c r="A156" s="15" t="n"/>
      <c r="B156" s="17">
        <f>IFERROR(VLOOKUP(A156,Produtos!$A$5:$M$204,2,FALSE),"")</f>
        <v/>
      </c>
      <c r="C156" s="15" t="n"/>
      <c r="D156" s="20" t="n"/>
      <c r="E156" s="20" t="n"/>
      <c r="F156" s="15" t="n"/>
      <c r="G156" s="15" t="n"/>
      <c r="H156" s="17">
        <f>IF(E156="","",E156-TODAY())</f>
        <v/>
      </c>
      <c r="I156" s="17">
        <f>IF(E156="","",IF(E156&lt;TODAY(),"VENCIDO",IF(E156&lt;=TODAY()+7,"VENCE EM 7 DIAS",IF(E156&lt;=TODAY()+30,"VENCE EM 30 DIAS","OK"))))</f>
        <v/>
      </c>
      <c r="J156" s="17">
        <f>IF(A156="","",IF(G156&lt;=0,"SEM ESTOQUE",IF(E156&lt;TODAY(),"VENCIDO",IF(E156&lt;=TODAY()+30,"ATENÇÃO","OK"))))</f>
        <v/>
      </c>
      <c r="K156" s="15" t="n"/>
    </row>
    <row r="157">
      <c r="A157" s="15" t="n"/>
      <c r="B157" s="17">
        <f>IFERROR(VLOOKUP(A157,Produtos!$A$5:$M$204,2,FALSE),"")</f>
        <v/>
      </c>
      <c r="C157" s="15" t="n"/>
      <c r="D157" s="20" t="n"/>
      <c r="E157" s="20" t="n"/>
      <c r="F157" s="15" t="n"/>
      <c r="G157" s="15" t="n"/>
      <c r="H157" s="17">
        <f>IF(E157="","",E157-TODAY())</f>
        <v/>
      </c>
      <c r="I157" s="17">
        <f>IF(E157="","",IF(E157&lt;TODAY(),"VENCIDO",IF(E157&lt;=TODAY()+7,"VENCE EM 7 DIAS",IF(E157&lt;=TODAY()+30,"VENCE EM 30 DIAS","OK"))))</f>
        <v/>
      </c>
      <c r="J157" s="17">
        <f>IF(A157="","",IF(G157&lt;=0,"SEM ESTOQUE",IF(E157&lt;TODAY(),"VENCIDO",IF(E157&lt;=TODAY()+30,"ATENÇÃO","OK"))))</f>
        <v/>
      </c>
      <c r="K157" s="15" t="n"/>
    </row>
    <row r="158">
      <c r="A158" s="15" t="n"/>
      <c r="B158" s="17">
        <f>IFERROR(VLOOKUP(A158,Produtos!$A$5:$M$204,2,FALSE),"")</f>
        <v/>
      </c>
      <c r="C158" s="15" t="n"/>
      <c r="D158" s="20" t="n"/>
      <c r="E158" s="20" t="n"/>
      <c r="F158" s="15" t="n"/>
      <c r="G158" s="15" t="n"/>
      <c r="H158" s="17">
        <f>IF(E158="","",E158-TODAY())</f>
        <v/>
      </c>
      <c r="I158" s="17">
        <f>IF(E158="","",IF(E158&lt;TODAY(),"VENCIDO",IF(E158&lt;=TODAY()+7,"VENCE EM 7 DIAS",IF(E158&lt;=TODAY()+30,"VENCE EM 30 DIAS","OK"))))</f>
        <v/>
      </c>
      <c r="J158" s="17">
        <f>IF(A158="","",IF(G158&lt;=0,"SEM ESTOQUE",IF(E158&lt;TODAY(),"VENCIDO",IF(E158&lt;=TODAY()+30,"ATENÇÃO","OK"))))</f>
        <v/>
      </c>
      <c r="K158" s="15" t="n"/>
    </row>
    <row r="159">
      <c r="A159" s="15" t="n"/>
      <c r="B159" s="17">
        <f>IFERROR(VLOOKUP(A159,Produtos!$A$5:$M$204,2,FALSE),"")</f>
        <v/>
      </c>
      <c r="C159" s="15" t="n"/>
      <c r="D159" s="20" t="n"/>
      <c r="E159" s="20" t="n"/>
      <c r="F159" s="15" t="n"/>
      <c r="G159" s="15" t="n"/>
      <c r="H159" s="17">
        <f>IF(E159="","",E159-TODAY())</f>
        <v/>
      </c>
      <c r="I159" s="17">
        <f>IF(E159="","",IF(E159&lt;TODAY(),"VENCIDO",IF(E159&lt;=TODAY()+7,"VENCE EM 7 DIAS",IF(E159&lt;=TODAY()+30,"VENCE EM 30 DIAS","OK"))))</f>
        <v/>
      </c>
      <c r="J159" s="17">
        <f>IF(A159="","",IF(G159&lt;=0,"SEM ESTOQUE",IF(E159&lt;TODAY(),"VENCIDO",IF(E159&lt;=TODAY()+30,"ATENÇÃO","OK"))))</f>
        <v/>
      </c>
      <c r="K159" s="15" t="n"/>
    </row>
    <row r="160">
      <c r="A160" s="15" t="n"/>
      <c r="B160" s="17">
        <f>IFERROR(VLOOKUP(A160,Produtos!$A$5:$M$204,2,FALSE),"")</f>
        <v/>
      </c>
      <c r="C160" s="15" t="n"/>
      <c r="D160" s="20" t="n"/>
      <c r="E160" s="20" t="n"/>
      <c r="F160" s="15" t="n"/>
      <c r="G160" s="15" t="n"/>
      <c r="H160" s="17">
        <f>IF(E160="","",E160-TODAY())</f>
        <v/>
      </c>
      <c r="I160" s="17">
        <f>IF(E160="","",IF(E160&lt;TODAY(),"VENCIDO",IF(E160&lt;=TODAY()+7,"VENCE EM 7 DIAS",IF(E160&lt;=TODAY()+30,"VENCE EM 30 DIAS","OK"))))</f>
        <v/>
      </c>
      <c r="J160" s="17">
        <f>IF(A160="","",IF(G160&lt;=0,"SEM ESTOQUE",IF(E160&lt;TODAY(),"VENCIDO",IF(E160&lt;=TODAY()+30,"ATENÇÃO","OK"))))</f>
        <v/>
      </c>
      <c r="K160" s="15" t="n"/>
    </row>
    <row r="161">
      <c r="A161" s="15" t="n"/>
      <c r="B161" s="17">
        <f>IFERROR(VLOOKUP(A161,Produtos!$A$5:$M$204,2,FALSE),"")</f>
        <v/>
      </c>
      <c r="C161" s="15" t="n"/>
      <c r="D161" s="20" t="n"/>
      <c r="E161" s="20" t="n"/>
      <c r="F161" s="15" t="n"/>
      <c r="G161" s="15" t="n"/>
      <c r="H161" s="17">
        <f>IF(E161="","",E161-TODAY())</f>
        <v/>
      </c>
      <c r="I161" s="17">
        <f>IF(E161="","",IF(E161&lt;TODAY(),"VENCIDO",IF(E161&lt;=TODAY()+7,"VENCE EM 7 DIAS",IF(E161&lt;=TODAY()+30,"VENCE EM 30 DIAS","OK"))))</f>
        <v/>
      </c>
      <c r="J161" s="17">
        <f>IF(A161="","",IF(G161&lt;=0,"SEM ESTOQUE",IF(E161&lt;TODAY(),"VENCIDO",IF(E161&lt;=TODAY()+30,"ATENÇÃO","OK"))))</f>
        <v/>
      </c>
      <c r="K161" s="15" t="n"/>
    </row>
    <row r="162">
      <c r="A162" s="15" t="n"/>
      <c r="B162" s="17">
        <f>IFERROR(VLOOKUP(A162,Produtos!$A$5:$M$204,2,FALSE),"")</f>
        <v/>
      </c>
      <c r="C162" s="15" t="n"/>
      <c r="D162" s="20" t="n"/>
      <c r="E162" s="20" t="n"/>
      <c r="F162" s="15" t="n"/>
      <c r="G162" s="15" t="n"/>
      <c r="H162" s="17">
        <f>IF(E162="","",E162-TODAY())</f>
        <v/>
      </c>
      <c r="I162" s="17">
        <f>IF(E162="","",IF(E162&lt;TODAY(),"VENCIDO",IF(E162&lt;=TODAY()+7,"VENCE EM 7 DIAS",IF(E162&lt;=TODAY()+30,"VENCE EM 30 DIAS","OK"))))</f>
        <v/>
      </c>
      <c r="J162" s="17">
        <f>IF(A162="","",IF(G162&lt;=0,"SEM ESTOQUE",IF(E162&lt;TODAY(),"VENCIDO",IF(E162&lt;=TODAY()+30,"ATENÇÃO","OK"))))</f>
        <v/>
      </c>
      <c r="K162" s="15" t="n"/>
    </row>
    <row r="163">
      <c r="A163" s="15" t="n"/>
      <c r="B163" s="17">
        <f>IFERROR(VLOOKUP(A163,Produtos!$A$5:$M$204,2,FALSE),"")</f>
        <v/>
      </c>
      <c r="C163" s="15" t="n"/>
      <c r="D163" s="20" t="n"/>
      <c r="E163" s="20" t="n"/>
      <c r="F163" s="15" t="n"/>
      <c r="G163" s="15" t="n"/>
      <c r="H163" s="17">
        <f>IF(E163="","",E163-TODAY())</f>
        <v/>
      </c>
      <c r="I163" s="17">
        <f>IF(E163="","",IF(E163&lt;TODAY(),"VENCIDO",IF(E163&lt;=TODAY()+7,"VENCE EM 7 DIAS",IF(E163&lt;=TODAY()+30,"VENCE EM 30 DIAS","OK"))))</f>
        <v/>
      </c>
      <c r="J163" s="17">
        <f>IF(A163="","",IF(G163&lt;=0,"SEM ESTOQUE",IF(E163&lt;TODAY(),"VENCIDO",IF(E163&lt;=TODAY()+30,"ATENÇÃO","OK"))))</f>
        <v/>
      </c>
      <c r="K163" s="15" t="n"/>
    </row>
    <row r="164">
      <c r="A164" s="15" t="n"/>
      <c r="B164" s="17">
        <f>IFERROR(VLOOKUP(A164,Produtos!$A$5:$M$204,2,FALSE),"")</f>
        <v/>
      </c>
      <c r="C164" s="15" t="n"/>
      <c r="D164" s="20" t="n"/>
      <c r="E164" s="20" t="n"/>
      <c r="F164" s="15" t="n"/>
      <c r="G164" s="15" t="n"/>
      <c r="H164" s="17">
        <f>IF(E164="","",E164-TODAY())</f>
        <v/>
      </c>
      <c r="I164" s="17">
        <f>IF(E164="","",IF(E164&lt;TODAY(),"VENCIDO",IF(E164&lt;=TODAY()+7,"VENCE EM 7 DIAS",IF(E164&lt;=TODAY()+30,"VENCE EM 30 DIAS","OK"))))</f>
        <v/>
      </c>
      <c r="J164" s="17">
        <f>IF(A164="","",IF(G164&lt;=0,"SEM ESTOQUE",IF(E164&lt;TODAY(),"VENCIDO",IF(E164&lt;=TODAY()+30,"ATENÇÃO","OK"))))</f>
        <v/>
      </c>
      <c r="K164" s="15" t="n"/>
    </row>
    <row r="165">
      <c r="A165" s="15" t="n"/>
      <c r="B165" s="17">
        <f>IFERROR(VLOOKUP(A165,Produtos!$A$5:$M$204,2,FALSE),"")</f>
        <v/>
      </c>
      <c r="C165" s="15" t="n"/>
      <c r="D165" s="20" t="n"/>
      <c r="E165" s="20" t="n"/>
      <c r="F165" s="15" t="n"/>
      <c r="G165" s="15" t="n"/>
      <c r="H165" s="17">
        <f>IF(E165="","",E165-TODAY())</f>
        <v/>
      </c>
      <c r="I165" s="17">
        <f>IF(E165="","",IF(E165&lt;TODAY(),"VENCIDO",IF(E165&lt;=TODAY()+7,"VENCE EM 7 DIAS",IF(E165&lt;=TODAY()+30,"VENCE EM 30 DIAS","OK"))))</f>
        <v/>
      </c>
      <c r="J165" s="17">
        <f>IF(A165="","",IF(G165&lt;=0,"SEM ESTOQUE",IF(E165&lt;TODAY(),"VENCIDO",IF(E165&lt;=TODAY()+30,"ATENÇÃO","OK"))))</f>
        <v/>
      </c>
      <c r="K165" s="15" t="n"/>
    </row>
    <row r="166">
      <c r="A166" s="15" t="n"/>
      <c r="B166" s="17">
        <f>IFERROR(VLOOKUP(A166,Produtos!$A$5:$M$204,2,FALSE),"")</f>
        <v/>
      </c>
      <c r="C166" s="15" t="n"/>
      <c r="D166" s="20" t="n"/>
      <c r="E166" s="20" t="n"/>
      <c r="F166" s="15" t="n"/>
      <c r="G166" s="15" t="n"/>
      <c r="H166" s="17">
        <f>IF(E166="","",E166-TODAY())</f>
        <v/>
      </c>
      <c r="I166" s="17">
        <f>IF(E166="","",IF(E166&lt;TODAY(),"VENCIDO",IF(E166&lt;=TODAY()+7,"VENCE EM 7 DIAS",IF(E166&lt;=TODAY()+30,"VENCE EM 30 DIAS","OK"))))</f>
        <v/>
      </c>
      <c r="J166" s="17">
        <f>IF(A166="","",IF(G166&lt;=0,"SEM ESTOQUE",IF(E166&lt;TODAY(),"VENCIDO",IF(E166&lt;=TODAY()+30,"ATENÇÃO","OK"))))</f>
        <v/>
      </c>
      <c r="K166" s="15" t="n"/>
    </row>
    <row r="167">
      <c r="A167" s="15" t="n"/>
      <c r="B167" s="17">
        <f>IFERROR(VLOOKUP(A167,Produtos!$A$5:$M$204,2,FALSE),"")</f>
        <v/>
      </c>
      <c r="C167" s="15" t="n"/>
      <c r="D167" s="20" t="n"/>
      <c r="E167" s="20" t="n"/>
      <c r="F167" s="15" t="n"/>
      <c r="G167" s="15" t="n"/>
      <c r="H167" s="17">
        <f>IF(E167="","",E167-TODAY())</f>
        <v/>
      </c>
      <c r="I167" s="17">
        <f>IF(E167="","",IF(E167&lt;TODAY(),"VENCIDO",IF(E167&lt;=TODAY()+7,"VENCE EM 7 DIAS",IF(E167&lt;=TODAY()+30,"VENCE EM 30 DIAS","OK"))))</f>
        <v/>
      </c>
      <c r="J167" s="17">
        <f>IF(A167="","",IF(G167&lt;=0,"SEM ESTOQUE",IF(E167&lt;TODAY(),"VENCIDO",IF(E167&lt;=TODAY()+30,"ATENÇÃO","OK"))))</f>
        <v/>
      </c>
      <c r="K167" s="15" t="n"/>
    </row>
    <row r="168">
      <c r="A168" s="15" t="n"/>
      <c r="B168" s="17">
        <f>IFERROR(VLOOKUP(A168,Produtos!$A$5:$M$204,2,FALSE),"")</f>
        <v/>
      </c>
      <c r="C168" s="15" t="n"/>
      <c r="D168" s="20" t="n"/>
      <c r="E168" s="20" t="n"/>
      <c r="F168" s="15" t="n"/>
      <c r="G168" s="15" t="n"/>
      <c r="H168" s="17">
        <f>IF(E168="","",E168-TODAY())</f>
        <v/>
      </c>
      <c r="I168" s="17">
        <f>IF(E168="","",IF(E168&lt;TODAY(),"VENCIDO",IF(E168&lt;=TODAY()+7,"VENCE EM 7 DIAS",IF(E168&lt;=TODAY()+30,"VENCE EM 30 DIAS","OK"))))</f>
        <v/>
      </c>
      <c r="J168" s="17">
        <f>IF(A168="","",IF(G168&lt;=0,"SEM ESTOQUE",IF(E168&lt;TODAY(),"VENCIDO",IF(E168&lt;=TODAY()+30,"ATENÇÃO","OK"))))</f>
        <v/>
      </c>
      <c r="K168" s="15" t="n"/>
    </row>
    <row r="169">
      <c r="A169" s="15" t="n"/>
      <c r="B169" s="17">
        <f>IFERROR(VLOOKUP(A169,Produtos!$A$5:$M$204,2,FALSE),"")</f>
        <v/>
      </c>
      <c r="C169" s="15" t="n"/>
      <c r="D169" s="20" t="n"/>
      <c r="E169" s="20" t="n"/>
      <c r="F169" s="15" t="n"/>
      <c r="G169" s="15" t="n"/>
      <c r="H169" s="17">
        <f>IF(E169="","",E169-TODAY())</f>
        <v/>
      </c>
      <c r="I169" s="17">
        <f>IF(E169="","",IF(E169&lt;TODAY(),"VENCIDO",IF(E169&lt;=TODAY()+7,"VENCE EM 7 DIAS",IF(E169&lt;=TODAY()+30,"VENCE EM 30 DIAS","OK"))))</f>
        <v/>
      </c>
      <c r="J169" s="17">
        <f>IF(A169="","",IF(G169&lt;=0,"SEM ESTOQUE",IF(E169&lt;TODAY(),"VENCIDO",IF(E169&lt;=TODAY()+30,"ATENÇÃO","OK"))))</f>
        <v/>
      </c>
      <c r="K169" s="15" t="n"/>
    </row>
    <row r="170">
      <c r="A170" s="15" t="n"/>
      <c r="B170" s="17">
        <f>IFERROR(VLOOKUP(A170,Produtos!$A$5:$M$204,2,FALSE),"")</f>
        <v/>
      </c>
      <c r="C170" s="15" t="n"/>
      <c r="D170" s="20" t="n"/>
      <c r="E170" s="20" t="n"/>
      <c r="F170" s="15" t="n"/>
      <c r="G170" s="15" t="n"/>
      <c r="H170" s="17">
        <f>IF(E170="","",E170-TODAY())</f>
        <v/>
      </c>
      <c r="I170" s="17">
        <f>IF(E170="","",IF(E170&lt;TODAY(),"VENCIDO",IF(E170&lt;=TODAY()+7,"VENCE EM 7 DIAS",IF(E170&lt;=TODAY()+30,"VENCE EM 30 DIAS","OK"))))</f>
        <v/>
      </c>
      <c r="J170" s="17">
        <f>IF(A170="","",IF(G170&lt;=0,"SEM ESTOQUE",IF(E170&lt;TODAY(),"VENCIDO",IF(E170&lt;=TODAY()+30,"ATENÇÃO","OK"))))</f>
        <v/>
      </c>
      <c r="K170" s="15" t="n"/>
    </row>
    <row r="171">
      <c r="A171" s="15" t="n"/>
      <c r="B171" s="17">
        <f>IFERROR(VLOOKUP(A171,Produtos!$A$5:$M$204,2,FALSE),"")</f>
        <v/>
      </c>
      <c r="C171" s="15" t="n"/>
      <c r="D171" s="20" t="n"/>
      <c r="E171" s="20" t="n"/>
      <c r="F171" s="15" t="n"/>
      <c r="G171" s="15" t="n"/>
      <c r="H171" s="17">
        <f>IF(E171="","",E171-TODAY())</f>
        <v/>
      </c>
      <c r="I171" s="17">
        <f>IF(E171="","",IF(E171&lt;TODAY(),"VENCIDO",IF(E171&lt;=TODAY()+7,"VENCE EM 7 DIAS",IF(E171&lt;=TODAY()+30,"VENCE EM 30 DIAS","OK"))))</f>
        <v/>
      </c>
      <c r="J171" s="17">
        <f>IF(A171="","",IF(G171&lt;=0,"SEM ESTOQUE",IF(E171&lt;TODAY(),"VENCIDO",IF(E171&lt;=TODAY()+30,"ATENÇÃO","OK"))))</f>
        <v/>
      </c>
      <c r="K171" s="15" t="n"/>
    </row>
    <row r="172">
      <c r="A172" s="15" t="n"/>
      <c r="B172" s="17">
        <f>IFERROR(VLOOKUP(A172,Produtos!$A$5:$M$204,2,FALSE),"")</f>
        <v/>
      </c>
      <c r="C172" s="15" t="n"/>
      <c r="D172" s="20" t="n"/>
      <c r="E172" s="20" t="n"/>
      <c r="F172" s="15" t="n"/>
      <c r="G172" s="15" t="n"/>
      <c r="H172" s="17">
        <f>IF(E172="","",E172-TODAY())</f>
        <v/>
      </c>
      <c r="I172" s="17">
        <f>IF(E172="","",IF(E172&lt;TODAY(),"VENCIDO",IF(E172&lt;=TODAY()+7,"VENCE EM 7 DIAS",IF(E172&lt;=TODAY()+30,"VENCE EM 30 DIAS","OK"))))</f>
        <v/>
      </c>
      <c r="J172" s="17">
        <f>IF(A172="","",IF(G172&lt;=0,"SEM ESTOQUE",IF(E172&lt;TODAY(),"VENCIDO",IF(E172&lt;=TODAY()+30,"ATENÇÃO","OK"))))</f>
        <v/>
      </c>
      <c r="K172" s="15" t="n"/>
    </row>
    <row r="173">
      <c r="A173" s="15" t="n"/>
      <c r="B173" s="17">
        <f>IFERROR(VLOOKUP(A173,Produtos!$A$5:$M$204,2,FALSE),"")</f>
        <v/>
      </c>
      <c r="C173" s="15" t="n"/>
      <c r="D173" s="20" t="n"/>
      <c r="E173" s="20" t="n"/>
      <c r="F173" s="15" t="n"/>
      <c r="G173" s="15" t="n"/>
      <c r="H173" s="17">
        <f>IF(E173="","",E173-TODAY())</f>
        <v/>
      </c>
      <c r="I173" s="17">
        <f>IF(E173="","",IF(E173&lt;TODAY(),"VENCIDO",IF(E173&lt;=TODAY()+7,"VENCE EM 7 DIAS",IF(E173&lt;=TODAY()+30,"VENCE EM 30 DIAS","OK"))))</f>
        <v/>
      </c>
      <c r="J173" s="17">
        <f>IF(A173="","",IF(G173&lt;=0,"SEM ESTOQUE",IF(E173&lt;TODAY(),"VENCIDO",IF(E173&lt;=TODAY()+30,"ATENÇÃO","OK"))))</f>
        <v/>
      </c>
      <c r="K173" s="15" t="n"/>
    </row>
    <row r="174">
      <c r="A174" s="15" t="n"/>
      <c r="B174" s="17">
        <f>IFERROR(VLOOKUP(A174,Produtos!$A$5:$M$204,2,FALSE),"")</f>
        <v/>
      </c>
      <c r="C174" s="15" t="n"/>
      <c r="D174" s="20" t="n"/>
      <c r="E174" s="20" t="n"/>
      <c r="F174" s="15" t="n"/>
      <c r="G174" s="15" t="n"/>
      <c r="H174" s="17">
        <f>IF(E174="","",E174-TODAY())</f>
        <v/>
      </c>
      <c r="I174" s="17">
        <f>IF(E174="","",IF(E174&lt;TODAY(),"VENCIDO",IF(E174&lt;=TODAY()+7,"VENCE EM 7 DIAS",IF(E174&lt;=TODAY()+30,"VENCE EM 30 DIAS","OK"))))</f>
        <v/>
      </c>
      <c r="J174" s="17">
        <f>IF(A174="","",IF(G174&lt;=0,"SEM ESTOQUE",IF(E174&lt;TODAY(),"VENCIDO",IF(E174&lt;=TODAY()+30,"ATENÇÃO","OK"))))</f>
        <v/>
      </c>
      <c r="K174" s="15" t="n"/>
    </row>
    <row r="175">
      <c r="A175" s="15" t="n"/>
      <c r="B175" s="17">
        <f>IFERROR(VLOOKUP(A175,Produtos!$A$5:$M$204,2,FALSE),"")</f>
        <v/>
      </c>
      <c r="C175" s="15" t="n"/>
      <c r="D175" s="20" t="n"/>
      <c r="E175" s="20" t="n"/>
      <c r="F175" s="15" t="n"/>
      <c r="G175" s="15" t="n"/>
      <c r="H175" s="17">
        <f>IF(E175="","",E175-TODAY())</f>
        <v/>
      </c>
      <c r="I175" s="17">
        <f>IF(E175="","",IF(E175&lt;TODAY(),"VENCIDO",IF(E175&lt;=TODAY()+7,"VENCE EM 7 DIAS",IF(E175&lt;=TODAY()+30,"VENCE EM 30 DIAS","OK"))))</f>
        <v/>
      </c>
      <c r="J175" s="17">
        <f>IF(A175="","",IF(G175&lt;=0,"SEM ESTOQUE",IF(E175&lt;TODAY(),"VENCIDO",IF(E175&lt;=TODAY()+30,"ATENÇÃO","OK"))))</f>
        <v/>
      </c>
      <c r="K175" s="15" t="n"/>
    </row>
    <row r="176">
      <c r="A176" s="15" t="n"/>
      <c r="B176" s="17">
        <f>IFERROR(VLOOKUP(A176,Produtos!$A$5:$M$204,2,FALSE),"")</f>
        <v/>
      </c>
      <c r="C176" s="15" t="n"/>
      <c r="D176" s="20" t="n"/>
      <c r="E176" s="20" t="n"/>
      <c r="F176" s="15" t="n"/>
      <c r="G176" s="15" t="n"/>
      <c r="H176" s="17">
        <f>IF(E176="","",E176-TODAY())</f>
        <v/>
      </c>
      <c r="I176" s="17">
        <f>IF(E176="","",IF(E176&lt;TODAY(),"VENCIDO",IF(E176&lt;=TODAY()+7,"VENCE EM 7 DIAS",IF(E176&lt;=TODAY()+30,"VENCE EM 30 DIAS","OK"))))</f>
        <v/>
      </c>
      <c r="J176" s="17">
        <f>IF(A176="","",IF(G176&lt;=0,"SEM ESTOQUE",IF(E176&lt;TODAY(),"VENCIDO",IF(E176&lt;=TODAY()+30,"ATENÇÃO","OK"))))</f>
        <v/>
      </c>
      <c r="K176" s="15" t="n"/>
    </row>
    <row r="177">
      <c r="A177" s="15" t="n"/>
      <c r="B177" s="17">
        <f>IFERROR(VLOOKUP(A177,Produtos!$A$5:$M$204,2,FALSE),"")</f>
        <v/>
      </c>
      <c r="C177" s="15" t="n"/>
      <c r="D177" s="20" t="n"/>
      <c r="E177" s="20" t="n"/>
      <c r="F177" s="15" t="n"/>
      <c r="G177" s="15" t="n"/>
      <c r="H177" s="17">
        <f>IF(E177="","",E177-TODAY())</f>
        <v/>
      </c>
      <c r="I177" s="17">
        <f>IF(E177="","",IF(E177&lt;TODAY(),"VENCIDO",IF(E177&lt;=TODAY()+7,"VENCE EM 7 DIAS",IF(E177&lt;=TODAY()+30,"VENCE EM 30 DIAS","OK"))))</f>
        <v/>
      </c>
      <c r="J177" s="17">
        <f>IF(A177="","",IF(G177&lt;=0,"SEM ESTOQUE",IF(E177&lt;TODAY(),"VENCIDO",IF(E177&lt;=TODAY()+30,"ATENÇÃO","OK"))))</f>
        <v/>
      </c>
      <c r="K177" s="15" t="n"/>
    </row>
    <row r="178">
      <c r="A178" s="15" t="n"/>
      <c r="B178" s="17">
        <f>IFERROR(VLOOKUP(A178,Produtos!$A$5:$M$204,2,FALSE),"")</f>
        <v/>
      </c>
      <c r="C178" s="15" t="n"/>
      <c r="D178" s="20" t="n"/>
      <c r="E178" s="20" t="n"/>
      <c r="F178" s="15" t="n"/>
      <c r="G178" s="15" t="n"/>
      <c r="H178" s="17">
        <f>IF(E178="","",E178-TODAY())</f>
        <v/>
      </c>
      <c r="I178" s="17">
        <f>IF(E178="","",IF(E178&lt;TODAY(),"VENCIDO",IF(E178&lt;=TODAY()+7,"VENCE EM 7 DIAS",IF(E178&lt;=TODAY()+30,"VENCE EM 30 DIAS","OK"))))</f>
        <v/>
      </c>
      <c r="J178" s="17">
        <f>IF(A178="","",IF(G178&lt;=0,"SEM ESTOQUE",IF(E178&lt;TODAY(),"VENCIDO",IF(E178&lt;=TODAY()+30,"ATENÇÃO","OK"))))</f>
        <v/>
      </c>
      <c r="K178" s="15" t="n"/>
    </row>
    <row r="179">
      <c r="A179" s="15" t="n"/>
      <c r="B179" s="17">
        <f>IFERROR(VLOOKUP(A179,Produtos!$A$5:$M$204,2,FALSE),"")</f>
        <v/>
      </c>
      <c r="C179" s="15" t="n"/>
      <c r="D179" s="20" t="n"/>
      <c r="E179" s="20" t="n"/>
      <c r="F179" s="15" t="n"/>
      <c r="G179" s="15" t="n"/>
      <c r="H179" s="17">
        <f>IF(E179="","",E179-TODAY())</f>
        <v/>
      </c>
      <c r="I179" s="17">
        <f>IF(E179="","",IF(E179&lt;TODAY(),"VENCIDO",IF(E179&lt;=TODAY()+7,"VENCE EM 7 DIAS",IF(E179&lt;=TODAY()+30,"VENCE EM 30 DIAS","OK"))))</f>
        <v/>
      </c>
      <c r="J179" s="17">
        <f>IF(A179="","",IF(G179&lt;=0,"SEM ESTOQUE",IF(E179&lt;TODAY(),"VENCIDO",IF(E179&lt;=TODAY()+30,"ATENÇÃO","OK"))))</f>
        <v/>
      </c>
      <c r="K179" s="15" t="n"/>
    </row>
    <row r="180">
      <c r="A180" s="15" t="n"/>
      <c r="B180" s="17">
        <f>IFERROR(VLOOKUP(A180,Produtos!$A$5:$M$204,2,FALSE),"")</f>
        <v/>
      </c>
      <c r="C180" s="15" t="n"/>
      <c r="D180" s="20" t="n"/>
      <c r="E180" s="20" t="n"/>
      <c r="F180" s="15" t="n"/>
      <c r="G180" s="15" t="n"/>
      <c r="H180" s="17">
        <f>IF(E180="","",E180-TODAY())</f>
        <v/>
      </c>
      <c r="I180" s="17">
        <f>IF(E180="","",IF(E180&lt;TODAY(),"VENCIDO",IF(E180&lt;=TODAY()+7,"VENCE EM 7 DIAS",IF(E180&lt;=TODAY()+30,"VENCE EM 30 DIAS","OK"))))</f>
        <v/>
      </c>
      <c r="J180" s="17">
        <f>IF(A180="","",IF(G180&lt;=0,"SEM ESTOQUE",IF(E180&lt;TODAY(),"VENCIDO",IF(E180&lt;=TODAY()+30,"ATENÇÃO","OK"))))</f>
        <v/>
      </c>
      <c r="K180" s="15" t="n"/>
    </row>
    <row r="181">
      <c r="A181" s="15" t="n"/>
      <c r="B181" s="17">
        <f>IFERROR(VLOOKUP(A181,Produtos!$A$5:$M$204,2,FALSE),"")</f>
        <v/>
      </c>
      <c r="C181" s="15" t="n"/>
      <c r="D181" s="20" t="n"/>
      <c r="E181" s="20" t="n"/>
      <c r="F181" s="15" t="n"/>
      <c r="G181" s="15" t="n"/>
      <c r="H181" s="17">
        <f>IF(E181="","",E181-TODAY())</f>
        <v/>
      </c>
      <c r="I181" s="17">
        <f>IF(E181="","",IF(E181&lt;TODAY(),"VENCIDO",IF(E181&lt;=TODAY()+7,"VENCE EM 7 DIAS",IF(E181&lt;=TODAY()+30,"VENCE EM 30 DIAS","OK"))))</f>
        <v/>
      </c>
      <c r="J181" s="17">
        <f>IF(A181="","",IF(G181&lt;=0,"SEM ESTOQUE",IF(E181&lt;TODAY(),"VENCIDO",IF(E181&lt;=TODAY()+30,"ATENÇÃO","OK"))))</f>
        <v/>
      </c>
      <c r="K181" s="15" t="n"/>
    </row>
    <row r="182">
      <c r="A182" s="15" t="n"/>
      <c r="B182" s="17">
        <f>IFERROR(VLOOKUP(A182,Produtos!$A$5:$M$204,2,FALSE),"")</f>
        <v/>
      </c>
      <c r="C182" s="15" t="n"/>
      <c r="D182" s="20" t="n"/>
      <c r="E182" s="20" t="n"/>
      <c r="F182" s="15" t="n"/>
      <c r="G182" s="15" t="n"/>
      <c r="H182" s="17">
        <f>IF(E182="","",E182-TODAY())</f>
        <v/>
      </c>
      <c r="I182" s="17">
        <f>IF(E182="","",IF(E182&lt;TODAY(),"VENCIDO",IF(E182&lt;=TODAY()+7,"VENCE EM 7 DIAS",IF(E182&lt;=TODAY()+30,"VENCE EM 30 DIAS","OK"))))</f>
        <v/>
      </c>
      <c r="J182" s="17">
        <f>IF(A182="","",IF(G182&lt;=0,"SEM ESTOQUE",IF(E182&lt;TODAY(),"VENCIDO",IF(E182&lt;=TODAY()+30,"ATENÇÃO","OK"))))</f>
        <v/>
      </c>
      <c r="K182" s="15" t="n"/>
    </row>
    <row r="183">
      <c r="A183" s="15" t="n"/>
      <c r="B183" s="17">
        <f>IFERROR(VLOOKUP(A183,Produtos!$A$5:$M$204,2,FALSE),"")</f>
        <v/>
      </c>
      <c r="C183" s="15" t="n"/>
      <c r="D183" s="20" t="n"/>
      <c r="E183" s="20" t="n"/>
      <c r="F183" s="15" t="n"/>
      <c r="G183" s="15" t="n"/>
      <c r="H183" s="17">
        <f>IF(E183="","",E183-TODAY())</f>
        <v/>
      </c>
      <c r="I183" s="17">
        <f>IF(E183="","",IF(E183&lt;TODAY(),"VENCIDO",IF(E183&lt;=TODAY()+7,"VENCE EM 7 DIAS",IF(E183&lt;=TODAY()+30,"VENCE EM 30 DIAS","OK"))))</f>
        <v/>
      </c>
      <c r="J183" s="17">
        <f>IF(A183="","",IF(G183&lt;=0,"SEM ESTOQUE",IF(E183&lt;TODAY(),"VENCIDO",IF(E183&lt;=TODAY()+30,"ATENÇÃO","OK"))))</f>
        <v/>
      </c>
      <c r="K183" s="15" t="n"/>
    </row>
    <row r="184">
      <c r="A184" s="15" t="n"/>
      <c r="B184" s="17">
        <f>IFERROR(VLOOKUP(A184,Produtos!$A$5:$M$204,2,FALSE),"")</f>
        <v/>
      </c>
      <c r="C184" s="15" t="n"/>
      <c r="D184" s="20" t="n"/>
      <c r="E184" s="20" t="n"/>
      <c r="F184" s="15" t="n"/>
      <c r="G184" s="15" t="n"/>
      <c r="H184" s="17">
        <f>IF(E184="","",E184-TODAY())</f>
        <v/>
      </c>
      <c r="I184" s="17">
        <f>IF(E184="","",IF(E184&lt;TODAY(),"VENCIDO",IF(E184&lt;=TODAY()+7,"VENCE EM 7 DIAS",IF(E184&lt;=TODAY()+30,"VENCE EM 30 DIAS","OK"))))</f>
        <v/>
      </c>
      <c r="J184" s="17">
        <f>IF(A184="","",IF(G184&lt;=0,"SEM ESTOQUE",IF(E184&lt;TODAY(),"VENCIDO",IF(E184&lt;=TODAY()+30,"ATENÇÃO","OK"))))</f>
        <v/>
      </c>
      <c r="K184" s="15" t="n"/>
    </row>
    <row r="185">
      <c r="A185" s="15" t="n"/>
      <c r="B185" s="17">
        <f>IFERROR(VLOOKUP(A185,Produtos!$A$5:$M$204,2,FALSE),"")</f>
        <v/>
      </c>
      <c r="C185" s="15" t="n"/>
      <c r="D185" s="20" t="n"/>
      <c r="E185" s="20" t="n"/>
      <c r="F185" s="15" t="n"/>
      <c r="G185" s="15" t="n"/>
      <c r="H185" s="17">
        <f>IF(E185="","",E185-TODAY())</f>
        <v/>
      </c>
      <c r="I185" s="17">
        <f>IF(E185="","",IF(E185&lt;TODAY(),"VENCIDO",IF(E185&lt;=TODAY()+7,"VENCE EM 7 DIAS",IF(E185&lt;=TODAY()+30,"VENCE EM 30 DIAS","OK"))))</f>
        <v/>
      </c>
      <c r="J185" s="17">
        <f>IF(A185="","",IF(G185&lt;=0,"SEM ESTOQUE",IF(E185&lt;TODAY(),"VENCIDO",IF(E185&lt;=TODAY()+30,"ATENÇÃO","OK"))))</f>
        <v/>
      </c>
      <c r="K185" s="15" t="n"/>
    </row>
    <row r="186">
      <c r="A186" s="15" t="n"/>
      <c r="B186" s="17">
        <f>IFERROR(VLOOKUP(A186,Produtos!$A$5:$M$204,2,FALSE),"")</f>
        <v/>
      </c>
      <c r="C186" s="15" t="n"/>
      <c r="D186" s="20" t="n"/>
      <c r="E186" s="20" t="n"/>
      <c r="F186" s="15" t="n"/>
      <c r="G186" s="15" t="n"/>
      <c r="H186" s="17">
        <f>IF(E186="","",E186-TODAY())</f>
        <v/>
      </c>
      <c r="I186" s="17">
        <f>IF(E186="","",IF(E186&lt;TODAY(),"VENCIDO",IF(E186&lt;=TODAY()+7,"VENCE EM 7 DIAS",IF(E186&lt;=TODAY()+30,"VENCE EM 30 DIAS","OK"))))</f>
        <v/>
      </c>
      <c r="J186" s="17">
        <f>IF(A186="","",IF(G186&lt;=0,"SEM ESTOQUE",IF(E186&lt;TODAY(),"VENCIDO",IF(E186&lt;=TODAY()+30,"ATENÇÃO","OK"))))</f>
        <v/>
      </c>
      <c r="K186" s="15" t="n"/>
    </row>
    <row r="187">
      <c r="A187" s="15" t="n"/>
      <c r="B187" s="17">
        <f>IFERROR(VLOOKUP(A187,Produtos!$A$5:$M$204,2,FALSE),"")</f>
        <v/>
      </c>
      <c r="C187" s="15" t="n"/>
      <c r="D187" s="20" t="n"/>
      <c r="E187" s="20" t="n"/>
      <c r="F187" s="15" t="n"/>
      <c r="G187" s="15" t="n"/>
      <c r="H187" s="17">
        <f>IF(E187="","",E187-TODAY())</f>
        <v/>
      </c>
      <c r="I187" s="17">
        <f>IF(E187="","",IF(E187&lt;TODAY(),"VENCIDO",IF(E187&lt;=TODAY()+7,"VENCE EM 7 DIAS",IF(E187&lt;=TODAY()+30,"VENCE EM 30 DIAS","OK"))))</f>
        <v/>
      </c>
      <c r="J187" s="17">
        <f>IF(A187="","",IF(G187&lt;=0,"SEM ESTOQUE",IF(E187&lt;TODAY(),"VENCIDO",IF(E187&lt;=TODAY()+30,"ATENÇÃO","OK"))))</f>
        <v/>
      </c>
      <c r="K187" s="15" t="n"/>
    </row>
    <row r="188">
      <c r="A188" s="15" t="n"/>
      <c r="B188" s="17">
        <f>IFERROR(VLOOKUP(A188,Produtos!$A$5:$M$204,2,FALSE),"")</f>
        <v/>
      </c>
      <c r="C188" s="15" t="n"/>
      <c r="D188" s="20" t="n"/>
      <c r="E188" s="20" t="n"/>
      <c r="F188" s="15" t="n"/>
      <c r="G188" s="15" t="n"/>
      <c r="H188" s="17">
        <f>IF(E188="","",E188-TODAY())</f>
        <v/>
      </c>
      <c r="I188" s="17">
        <f>IF(E188="","",IF(E188&lt;TODAY(),"VENCIDO",IF(E188&lt;=TODAY()+7,"VENCE EM 7 DIAS",IF(E188&lt;=TODAY()+30,"VENCE EM 30 DIAS","OK"))))</f>
        <v/>
      </c>
      <c r="J188" s="17">
        <f>IF(A188="","",IF(G188&lt;=0,"SEM ESTOQUE",IF(E188&lt;TODAY(),"VENCIDO",IF(E188&lt;=TODAY()+30,"ATENÇÃO","OK"))))</f>
        <v/>
      </c>
      <c r="K188" s="15" t="n"/>
    </row>
    <row r="189">
      <c r="A189" s="15" t="n"/>
      <c r="B189" s="17">
        <f>IFERROR(VLOOKUP(A189,Produtos!$A$5:$M$204,2,FALSE),"")</f>
        <v/>
      </c>
      <c r="C189" s="15" t="n"/>
      <c r="D189" s="20" t="n"/>
      <c r="E189" s="20" t="n"/>
      <c r="F189" s="15" t="n"/>
      <c r="G189" s="15" t="n"/>
      <c r="H189" s="17">
        <f>IF(E189="","",E189-TODAY())</f>
        <v/>
      </c>
      <c r="I189" s="17">
        <f>IF(E189="","",IF(E189&lt;TODAY(),"VENCIDO",IF(E189&lt;=TODAY()+7,"VENCE EM 7 DIAS",IF(E189&lt;=TODAY()+30,"VENCE EM 30 DIAS","OK"))))</f>
        <v/>
      </c>
      <c r="J189" s="17">
        <f>IF(A189="","",IF(G189&lt;=0,"SEM ESTOQUE",IF(E189&lt;TODAY(),"VENCIDO",IF(E189&lt;=TODAY()+30,"ATENÇÃO","OK"))))</f>
        <v/>
      </c>
      <c r="K189" s="15" t="n"/>
    </row>
    <row r="190">
      <c r="A190" s="15" t="n"/>
      <c r="B190" s="17">
        <f>IFERROR(VLOOKUP(A190,Produtos!$A$5:$M$204,2,FALSE),"")</f>
        <v/>
      </c>
      <c r="C190" s="15" t="n"/>
      <c r="D190" s="20" t="n"/>
      <c r="E190" s="20" t="n"/>
      <c r="F190" s="15" t="n"/>
      <c r="G190" s="15" t="n"/>
      <c r="H190" s="17">
        <f>IF(E190="","",E190-TODAY())</f>
        <v/>
      </c>
      <c r="I190" s="17">
        <f>IF(E190="","",IF(E190&lt;TODAY(),"VENCIDO",IF(E190&lt;=TODAY()+7,"VENCE EM 7 DIAS",IF(E190&lt;=TODAY()+30,"VENCE EM 30 DIAS","OK"))))</f>
        <v/>
      </c>
      <c r="J190" s="17">
        <f>IF(A190="","",IF(G190&lt;=0,"SEM ESTOQUE",IF(E190&lt;TODAY(),"VENCIDO",IF(E190&lt;=TODAY()+30,"ATENÇÃO","OK"))))</f>
        <v/>
      </c>
      <c r="K190" s="15" t="n"/>
    </row>
    <row r="191">
      <c r="A191" s="15" t="n"/>
      <c r="B191" s="17">
        <f>IFERROR(VLOOKUP(A191,Produtos!$A$5:$M$204,2,FALSE),"")</f>
        <v/>
      </c>
      <c r="C191" s="15" t="n"/>
      <c r="D191" s="20" t="n"/>
      <c r="E191" s="20" t="n"/>
      <c r="F191" s="15" t="n"/>
      <c r="G191" s="15" t="n"/>
      <c r="H191" s="17">
        <f>IF(E191="","",E191-TODAY())</f>
        <v/>
      </c>
      <c r="I191" s="17">
        <f>IF(E191="","",IF(E191&lt;TODAY(),"VENCIDO",IF(E191&lt;=TODAY()+7,"VENCE EM 7 DIAS",IF(E191&lt;=TODAY()+30,"VENCE EM 30 DIAS","OK"))))</f>
        <v/>
      </c>
      <c r="J191" s="17">
        <f>IF(A191="","",IF(G191&lt;=0,"SEM ESTOQUE",IF(E191&lt;TODAY(),"VENCIDO",IF(E191&lt;=TODAY()+30,"ATENÇÃO","OK"))))</f>
        <v/>
      </c>
      <c r="K191" s="15" t="n"/>
    </row>
    <row r="192">
      <c r="A192" s="15" t="n"/>
      <c r="B192" s="17">
        <f>IFERROR(VLOOKUP(A192,Produtos!$A$5:$M$204,2,FALSE),"")</f>
        <v/>
      </c>
      <c r="C192" s="15" t="n"/>
      <c r="D192" s="20" t="n"/>
      <c r="E192" s="20" t="n"/>
      <c r="F192" s="15" t="n"/>
      <c r="G192" s="15" t="n"/>
      <c r="H192" s="17">
        <f>IF(E192="","",E192-TODAY())</f>
        <v/>
      </c>
      <c r="I192" s="17">
        <f>IF(E192="","",IF(E192&lt;TODAY(),"VENCIDO",IF(E192&lt;=TODAY()+7,"VENCE EM 7 DIAS",IF(E192&lt;=TODAY()+30,"VENCE EM 30 DIAS","OK"))))</f>
        <v/>
      </c>
      <c r="J192" s="17">
        <f>IF(A192="","",IF(G192&lt;=0,"SEM ESTOQUE",IF(E192&lt;TODAY(),"VENCIDO",IF(E192&lt;=TODAY()+30,"ATENÇÃO","OK"))))</f>
        <v/>
      </c>
      <c r="K192" s="15" t="n"/>
    </row>
    <row r="193">
      <c r="A193" s="15" t="n"/>
      <c r="B193" s="17">
        <f>IFERROR(VLOOKUP(A193,Produtos!$A$5:$M$204,2,FALSE),"")</f>
        <v/>
      </c>
      <c r="C193" s="15" t="n"/>
      <c r="D193" s="20" t="n"/>
      <c r="E193" s="20" t="n"/>
      <c r="F193" s="15" t="n"/>
      <c r="G193" s="15" t="n"/>
      <c r="H193" s="17">
        <f>IF(E193="","",E193-TODAY())</f>
        <v/>
      </c>
      <c r="I193" s="17">
        <f>IF(E193="","",IF(E193&lt;TODAY(),"VENCIDO",IF(E193&lt;=TODAY()+7,"VENCE EM 7 DIAS",IF(E193&lt;=TODAY()+30,"VENCE EM 30 DIAS","OK"))))</f>
        <v/>
      </c>
      <c r="J193" s="17">
        <f>IF(A193="","",IF(G193&lt;=0,"SEM ESTOQUE",IF(E193&lt;TODAY(),"VENCIDO",IF(E193&lt;=TODAY()+30,"ATENÇÃO","OK"))))</f>
        <v/>
      </c>
      <c r="K193" s="15" t="n"/>
    </row>
    <row r="194">
      <c r="A194" s="15" t="n"/>
      <c r="B194" s="17">
        <f>IFERROR(VLOOKUP(A194,Produtos!$A$5:$M$204,2,FALSE),"")</f>
        <v/>
      </c>
      <c r="C194" s="15" t="n"/>
      <c r="D194" s="20" t="n"/>
      <c r="E194" s="20" t="n"/>
      <c r="F194" s="15" t="n"/>
      <c r="G194" s="15" t="n"/>
      <c r="H194" s="17">
        <f>IF(E194="","",E194-TODAY())</f>
        <v/>
      </c>
      <c r="I194" s="17">
        <f>IF(E194="","",IF(E194&lt;TODAY(),"VENCIDO",IF(E194&lt;=TODAY()+7,"VENCE EM 7 DIAS",IF(E194&lt;=TODAY()+30,"VENCE EM 30 DIAS","OK"))))</f>
        <v/>
      </c>
      <c r="J194" s="17">
        <f>IF(A194="","",IF(G194&lt;=0,"SEM ESTOQUE",IF(E194&lt;TODAY(),"VENCIDO",IF(E194&lt;=TODAY()+30,"ATENÇÃO","OK"))))</f>
        <v/>
      </c>
      <c r="K194" s="15" t="n"/>
    </row>
    <row r="195">
      <c r="A195" s="15" t="n"/>
      <c r="B195" s="17">
        <f>IFERROR(VLOOKUP(A195,Produtos!$A$5:$M$204,2,FALSE),"")</f>
        <v/>
      </c>
      <c r="C195" s="15" t="n"/>
      <c r="D195" s="20" t="n"/>
      <c r="E195" s="20" t="n"/>
      <c r="F195" s="15" t="n"/>
      <c r="G195" s="15" t="n"/>
      <c r="H195" s="17">
        <f>IF(E195="","",E195-TODAY())</f>
        <v/>
      </c>
      <c r="I195" s="17">
        <f>IF(E195="","",IF(E195&lt;TODAY(),"VENCIDO",IF(E195&lt;=TODAY()+7,"VENCE EM 7 DIAS",IF(E195&lt;=TODAY()+30,"VENCE EM 30 DIAS","OK"))))</f>
        <v/>
      </c>
      <c r="J195" s="17">
        <f>IF(A195="","",IF(G195&lt;=0,"SEM ESTOQUE",IF(E195&lt;TODAY(),"VENCIDO",IF(E195&lt;=TODAY()+30,"ATENÇÃO","OK"))))</f>
        <v/>
      </c>
      <c r="K195" s="15" t="n"/>
    </row>
    <row r="196">
      <c r="A196" s="15" t="n"/>
      <c r="B196" s="17">
        <f>IFERROR(VLOOKUP(A196,Produtos!$A$5:$M$204,2,FALSE),"")</f>
        <v/>
      </c>
      <c r="C196" s="15" t="n"/>
      <c r="D196" s="20" t="n"/>
      <c r="E196" s="20" t="n"/>
      <c r="F196" s="15" t="n"/>
      <c r="G196" s="15" t="n"/>
      <c r="H196" s="17">
        <f>IF(E196="","",E196-TODAY())</f>
        <v/>
      </c>
      <c r="I196" s="17">
        <f>IF(E196="","",IF(E196&lt;TODAY(),"VENCIDO",IF(E196&lt;=TODAY()+7,"VENCE EM 7 DIAS",IF(E196&lt;=TODAY()+30,"VENCE EM 30 DIAS","OK"))))</f>
        <v/>
      </c>
      <c r="J196" s="17">
        <f>IF(A196="","",IF(G196&lt;=0,"SEM ESTOQUE",IF(E196&lt;TODAY(),"VENCIDO",IF(E196&lt;=TODAY()+30,"ATENÇÃO","OK"))))</f>
        <v/>
      </c>
      <c r="K196" s="15" t="n"/>
    </row>
    <row r="197">
      <c r="A197" s="15" t="n"/>
      <c r="B197" s="17">
        <f>IFERROR(VLOOKUP(A197,Produtos!$A$5:$M$204,2,FALSE),"")</f>
        <v/>
      </c>
      <c r="C197" s="15" t="n"/>
      <c r="D197" s="20" t="n"/>
      <c r="E197" s="20" t="n"/>
      <c r="F197" s="15" t="n"/>
      <c r="G197" s="15" t="n"/>
      <c r="H197" s="17">
        <f>IF(E197="","",E197-TODAY())</f>
        <v/>
      </c>
      <c r="I197" s="17">
        <f>IF(E197="","",IF(E197&lt;TODAY(),"VENCIDO",IF(E197&lt;=TODAY()+7,"VENCE EM 7 DIAS",IF(E197&lt;=TODAY()+30,"VENCE EM 30 DIAS","OK"))))</f>
        <v/>
      </c>
      <c r="J197" s="17">
        <f>IF(A197="","",IF(G197&lt;=0,"SEM ESTOQUE",IF(E197&lt;TODAY(),"VENCIDO",IF(E197&lt;=TODAY()+30,"ATENÇÃO","OK"))))</f>
        <v/>
      </c>
      <c r="K197" s="15" t="n"/>
    </row>
    <row r="198">
      <c r="A198" s="15" t="n"/>
      <c r="B198" s="17">
        <f>IFERROR(VLOOKUP(A198,Produtos!$A$5:$M$204,2,FALSE),"")</f>
        <v/>
      </c>
      <c r="C198" s="15" t="n"/>
      <c r="D198" s="20" t="n"/>
      <c r="E198" s="20" t="n"/>
      <c r="F198" s="15" t="n"/>
      <c r="G198" s="15" t="n"/>
      <c r="H198" s="17">
        <f>IF(E198="","",E198-TODAY())</f>
        <v/>
      </c>
      <c r="I198" s="17">
        <f>IF(E198="","",IF(E198&lt;TODAY(),"VENCIDO",IF(E198&lt;=TODAY()+7,"VENCE EM 7 DIAS",IF(E198&lt;=TODAY()+30,"VENCE EM 30 DIAS","OK"))))</f>
        <v/>
      </c>
      <c r="J198" s="17">
        <f>IF(A198="","",IF(G198&lt;=0,"SEM ESTOQUE",IF(E198&lt;TODAY(),"VENCIDO",IF(E198&lt;=TODAY()+30,"ATENÇÃO","OK"))))</f>
        <v/>
      </c>
      <c r="K198" s="15" t="n"/>
    </row>
    <row r="199">
      <c r="A199" s="15" t="n"/>
      <c r="B199" s="17">
        <f>IFERROR(VLOOKUP(A199,Produtos!$A$5:$M$204,2,FALSE),"")</f>
        <v/>
      </c>
      <c r="C199" s="15" t="n"/>
      <c r="D199" s="20" t="n"/>
      <c r="E199" s="20" t="n"/>
      <c r="F199" s="15" t="n"/>
      <c r="G199" s="15" t="n"/>
      <c r="H199" s="17">
        <f>IF(E199="","",E199-TODAY())</f>
        <v/>
      </c>
      <c r="I199" s="17">
        <f>IF(E199="","",IF(E199&lt;TODAY(),"VENCIDO",IF(E199&lt;=TODAY()+7,"VENCE EM 7 DIAS",IF(E199&lt;=TODAY()+30,"VENCE EM 30 DIAS","OK"))))</f>
        <v/>
      </c>
      <c r="J199" s="17">
        <f>IF(A199="","",IF(G199&lt;=0,"SEM ESTOQUE",IF(E199&lt;TODAY(),"VENCIDO",IF(E199&lt;=TODAY()+30,"ATENÇÃO","OK"))))</f>
        <v/>
      </c>
      <c r="K199" s="15" t="n"/>
    </row>
    <row r="200">
      <c r="A200" s="15" t="n"/>
      <c r="B200" s="17">
        <f>IFERROR(VLOOKUP(A200,Produtos!$A$5:$M$204,2,FALSE),"")</f>
        <v/>
      </c>
      <c r="C200" s="15" t="n"/>
      <c r="D200" s="20" t="n"/>
      <c r="E200" s="20" t="n"/>
      <c r="F200" s="15" t="n"/>
      <c r="G200" s="15" t="n"/>
      <c r="H200" s="17">
        <f>IF(E200="","",E200-TODAY())</f>
        <v/>
      </c>
      <c r="I200" s="17">
        <f>IF(E200="","",IF(E200&lt;TODAY(),"VENCIDO",IF(E200&lt;=TODAY()+7,"VENCE EM 7 DIAS",IF(E200&lt;=TODAY()+30,"VENCE EM 30 DIAS","OK"))))</f>
        <v/>
      </c>
      <c r="J200" s="17">
        <f>IF(A200="","",IF(G200&lt;=0,"SEM ESTOQUE",IF(E200&lt;TODAY(),"VENCIDO",IF(E200&lt;=TODAY()+30,"ATENÇÃO","OK"))))</f>
        <v/>
      </c>
      <c r="K200" s="15" t="n"/>
    </row>
    <row r="201">
      <c r="A201" s="15" t="n"/>
      <c r="B201" s="17">
        <f>IFERROR(VLOOKUP(A201,Produtos!$A$5:$M$204,2,FALSE),"")</f>
        <v/>
      </c>
      <c r="C201" s="15" t="n"/>
      <c r="D201" s="20" t="n"/>
      <c r="E201" s="20" t="n"/>
      <c r="F201" s="15" t="n"/>
      <c r="G201" s="15" t="n"/>
      <c r="H201" s="17">
        <f>IF(E201="","",E201-TODAY())</f>
        <v/>
      </c>
      <c r="I201" s="17">
        <f>IF(E201="","",IF(E201&lt;TODAY(),"VENCIDO",IF(E201&lt;=TODAY()+7,"VENCE EM 7 DIAS",IF(E201&lt;=TODAY()+30,"VENCE EM 30 DIAS","OK"))))</f>
        <v/>
      </c>
      <c r="J201" s="17">
        <f>IF(A201="","",IF(G201&lt;=0,"SEM ESTOQUE",IF(E201&lt;TODAY(),"VENCIDO",IF(E201&lt;=TODAY()+30,"ATENÇÃO","OK"))))</f>
        <v/>
      </c>
      <c r="K201" s="15" t="n"/>
    </row>
    <row r="202">
      <c r="A202" s="15" t="n"/>
      <c r="B202" s="17">
        <f>IFERROR(VLOOKUP(A202,Produtos!$A$5:$M$204,2,FALSE),"")</f>
        <v/>
      </c>
      <c r="C202" s="15" t="n"/>
      <c r="D202" s="20" t="n"/>
      <c r="E202" s="20" t="n"/>
      <c r="F202" s="15" t="n"/>
      <c r="G202" s="15" t="n"/>
      <c r="H202" s="17">
        <f>IF(E202="","",E202-TODAY())</f>
        <v/>
      </c>
      <c r="I202" s="17">
        <f>IF(E202="","",IF(E202&lt;TODAY(),"VENCIDO",IF(E202&lt;=TODAY()+7,"VENCE EM 7 DIAS",IF(E202&lt;=TODAY()+30,"VENCE EM 30 DIAS","OK"))))</f>
        <v/>
      </c>
      <c r="J202" s="17">
        <f>IF(A202="","",IF(G202&lt;=0,"SEM ESTOQUE",IF(E202&lt;TODAY(),"VENCIDO",IF(E202&lt;=TODAY()+30,"ATENÇÃO","OK"))))</f>
        <v/>
      </c>
      <c r="K202" s="15" t="n"/>
    </row>
    <row r="203">
      <c r="A203" s="15" t="n"/>
      <c r="B203" s="17">
        <f>IFERROR(VLOOKUP(A203,Produtos!$A$5:$M$204,2,FALSE),"")</f>
        <v/>
      </c>
      <c r="C203" s="15" t="n"/>
      <c r="D203" s="20" t="n"/>
      <c r="E203" s="20" t="n"/>
      <c r="F203" s="15" t="n"/>
      <c r="G203" s="15" t="n"/>
      <c r="H203" s="17">
        <f>IF(E203="","",E203-TODAY())</f>
        <v/>
      </c>
      <c r="I203" s="17">
        <f>IF(E203="","",IF(E203&lt;TODAY(),"VENCIDO",IF(E203&lt;=TODAY()+7,"VENCE EM 7 DIAS",IF(E203&lt;=TODAY()+30,"VENCE EM 30 DIAS","OK"))))</f>
        <v/>
      </c>
      <c r="J203" s="17">
        <f>IF(A203="","",IF(G203&lt;=0,"SEM ESTOQUE",IF(E203&lt;TODAY(),"VENCIDO",IF(E203&lt;=TODAY()+30,"ATENÇÃO","OK"))))</f>
        <v/>
      </c>
      <c r="K203" s="15" t="n"/>
    </row>
    <row r="204">
      <c r="A204" s="15" t="n"/>
      <c r="B204" s="17">
        <f>IFERROR(VLOOKUP(A204,Produtos!$A$5:$M$204,2,FALSE),"")</f>
        <v/>
      </c>
      <c r="C204" s="15" t="n"/>
      <c r="D204" s="20" t="n"/>
      <c r="E204" s="20" t="n"/>
      <c r="F204" s="15" t="n"/>
      <c r="G204" s="15" t="n"/>
      <c r="H204" s="17">
        <f>IF(E204="","",E204-TODAY())</f>
        <v/>
      </c>
      <c r="I204" s="17">
        <f>IF(E204="","",IF(E204&lt;TODAY(),"VENCIDO",IF(E204&lt;=TODAY()+7,"VENCE EM 7 DIAS",IF(E204&lt;=TODAY()+30,"VENCE EM 30 DIAS","OK"))))</f>
        <v/>
      </c>
      <c r="J204" s="17">
        <f>IF(A204="","",IF(G204&lt;=0,"SEM ESTOQUE",IF(E204&lt;TODAY(),"VENCIDO",IF(E204&lt;=TODAY()+30,"ATENÇÃO","OK"))))</f>
        <v/>
      </c>
      <c r="K204" s="15" t="n"/>
    </row>
  </sheetData>
  <autoFilter ref="A4:K204"/>
  <mergeCells count="2">
    <mergeCell ref="A2:K2"/>
    <mergeCell ref="A1:K1"/>
  </mergeCells>
  <conditionalFormatting sqref="I5:I204">
    <cfRule type="expression" priority="1" dxfId="0">
      <formula>I5="VENCIDO"</formula>
    </cfRule>
    <cfRule type="expression" priority="2" dxfId="2">
      <formula>I5="VENCE EM 7 DIAS"</formula>
    </cfRule>
    <cfRule type="expression" priority="3" dxfId="3">
      <formula>I5="VENCE EM 30 DIAS"</formula>
    </cfRule>
    <cfRule type="expression" priority="4" dxfId="1">
      <formula>I5="OK"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2" customHeight="1">
      <c r="A1" s="1" t="inlineStr">
        <is>
          <t>RESUMO MENSAL</t>
        </is>
      </c>
    </row>
    <row r="2"/>
    <row r="3">
      <c r="A3" s="13" t="inlineStr">
        <is>
          <t>Mês de referência</t>
        </is>
      </c>
      <c r="B3" s="22" t="n">
        <v>46296</v>
      </c>
    </row>
    <row r="4"/>
    <row r="5">
      <c r="A5" s="23" t="inlineStr">
        <is>
          <t>Indicador</t>
        </is>
      </c>
      <c r="B5" s="23" t="inlineStr">
        <is>
          <t>Resultado</t>
        </is>
      </c>
    </row>
    <row r="6">
      <c r="A6" s="13" t="inlineStr">
        <is>
          <t>Entradas no mês</t>
        </is>
      </c>
      <c r="B6" s="13">
        <f>SUMIFS(Movimentações!E5:E504,Movimentações!A5:A504,"&gt;="&amp;B3,Movimentações!A5:A504,"&lt;"&amp;EDATE(B3,1))</f>
        <v/>
      </c>
    </row>
    <row r="7">
      <c r="A7" s="13" t="inlineStr">
        <is>
          <t>Saídas no mês</t>
        </is>
      </c>
      <c r="B7" s="13">
        <f>SUMIFS(Movimentações!F5:F504,Movimentações!A5:A504,"&gt;="&amp;B3,Movimentações!A5:A504,"&lt;"&amp;EDATE(B3,1))</f>
        <v/>
      </c>
    </row>
    <row r="8">
      <c r="A8" s="13" t="inlineStr">
        <is>
          <t>Produtos com estoque baixo</t>
        </is>
      </c>
      <c r="B8" s="13">
        <f>COUNTIF(Produtos!L5:L204,"BAIXO")</f>
        <v/>
      </c>
    </row>
    <row r="9">
      <c r="A9" s="13" t="inlineStr">
        <is>
          <t>Lotes vencidos</t>
        </is>
      </c>
      <c r="B9" s="13">
        <f>COUNTIF(Lotes!I5:I204,"VENCIDO")</f>
        <v/>
      </c>
    </row>
    <row r="10">
      <c r="A10" s="13" t="inlineStr">
        <is>
          <t>Lotes vencendo em até 7 dias</t>
        </is>
      </c>
      <c r="B10" s="13">
        <f>COUNTIF(Lotes!I5:I204,"VENCE EM 7 DIAS")</f>
        <v/>
      </c>
    </row>
    <row r="11">
      <c r="A11" s="13" t="inlineStr">
        <is>
          <t>Lotes vencendo em até 30 dias</t>
        </is>
      </c>
      <c r="B11" s="13">
        <f>COUNTIF(Lotes!I5:I204,"VENCE EM 30 DIAS")</f>
        <v/>
      </c>
    </row>
  </sheetData>
  <mergeCells count="1">
    <mergeCell ref="A1:B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2026-10-26T15:28:15Z</dcterms:created>
  <dcterms:modified xmlns:dcterms="http://purl.org/dc/terms/" xmlns:xsi="http://www.w3.org/2001/XMLSchema-instance" xsi:type="dcterms:W3CDTF">2026-10-26T15:28:15Z</dcterms:modified>
</cp:coreProperties>
</file>